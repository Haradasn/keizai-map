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svka.vdi.pref.nagano.lg.jp\課共有\統計室\0I県民経済計算\0I2産業連関表\009公表・報告資料\R２年表\公表\HP公表用\"/>
    </mc:Choice>
  </mc:AlternateContent>
  <xr:revisionPtr revIDLastSave="0" documentId="13_ncr:1_{F814F529-6240-43AF-A9E1-2BB870095A9D}" xr6:coauthVersionLast="47" xr6:coauthVersionMax="47" xr10:uidLastSave="{00000000-0000-0000-0000-000000000000}"/>
  <bookViews>
    <workbookView xWindow="28692" yWindow="-6564" windowWidth="29016" windowHeight="15816" xr2:uid="{A12EF6F0-8489-46EE-A5E4-0141D379E373}"/>
  </bookViews>
  <sheets>
    <sheet name="取引基本表" sheetId="8" r:id="rId1"/>
    <sheet name="投入係数表" sheetId="1" r:id="rId2"/>
    <sheet name="逆行列係数表（閉鎖型）" sheetId="2" r:id="rId3"/>
    <sheet name="逆行列係数表（開放型）" sheetId="4" r:id="rId4"/>
    <sheet name="生産誘発額" sheetId="9" r:id="rId5"/>
    <sheet name="粗付加価値誘発額" sheetId="10" r:id="rId6"/>
    <sheet name="移輸入誘発額" sheetId="11" r:id="rId7"/>
    <sheet name="各種係数表" sheetId="5" r:id="rId8"/>
    <sheet name="雇用表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5" l="1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6" i="5"/>
  <c r="N7" i="5" l="1"/>
  <c r="P7" i="5" s="1"/>
  <c r="N8" i="5"/>
  <c r="O8" i="5" s="1"/>
  <c r="N9" i="5"/>
  <c r="O9" i="5" s="1"/>
  <c r="N10" i="5"/>
  <c r="O10" i="5" s="1"/>
  <c r="N11" i="5"/>
  <c r="P11" i="5" s="1"/>
  <c r="N12" i="5"/>
  <c r="O12" i="5" s="1"/>
  <c r="N13" i="5"/>
  <c r="O13" i="5" s="1"/>
  <c r="N14" i="5"/>
  <c r="O14" i="5" s="1"/>
  <c r="N15" i="5"/>
  <c r="P15" i="5" s="1"/>
  <c r="N16" i="5"/>
  <c r="O16" i="5" s="1"/>
  <c r="N17" i="5"/>
  <c r="O17" i="5" s="1"/>
  <c r="N18" i="5"/>
  <c r="O18" i="5" s="1"/>
  <c r="N19" i="5"/>
  <c r="P19" i="5" s="1"/>
  <c r="N20" i="5"/>
  <c r="O20" i="5" s="1"/>
  <c r="N21" i="5"/>
  <c r="O21" i="5" s="1"/>
  <c r="N22" i="5"/>
  <c r="O22" i="5" s="1"/>
  <c r="N23" i="5"/>
  <c r="P23" i="5" s="1"/>
  <c r="N24" i="5"/>
  <c r="O24" i="5" s="1"/>
  <c r="N25" i="5"/>
  <c r="O25" i="5" s="1"/>
  <c r="N26" i="5"/>
  <c r="O26" i="5" s="1"/>
  <c r="N27" i="5"/>
  <c r="P27" i="5" s="1"/>
  <c r="N28" i="5"/>
  <c r="O28" i="5" s="1"/>
  <c r="N29" i="5"/>
  <c r="O29" i="5" s="1"/>
  <c r="N30" i="5"/>
  <c r="O30" i="5" s="1"/>
  <c r="N31" i="5"/>
  <c r="P31" i="5" s="1"/>
  <c r="N32" i="5"/>
  <c r="O32" i="5" s="1"/>
  <c r="N33" i="5"/>
  <c r="O33" i="5" s="1"/>
  <c r="N34" i="5"/>
  <c r="O34" i="5" s="1"/>
  <c r="N35" i="5"/>
  <c r="P35" i="5" s="1"/>
  <c r="N36" i="5"/>
  <c r="O36" i="5" s="1"/>
  <c r="N37" i="5"/>
  <c r="O37" i="5" s="1"/>
  <c r="N38" i="5"/>
  <c r="P38" i="5" s="1"/>
  <c r="N39" i="5"/>
  <c r="P39" i="5" s="1"/>
  <c r="N40" i="5"/>
  <c r="O40" i="5" s="1"/>
  <c r="N41" i="5"/>
  <c r="O41" i="5" s="1"/>
  <c r="N42" i="5"/>
  <c r="P42" i="5" s="1"/>
  <c r="N43" i="5"/>
  <c r="P43" i="5" s="1"/>
  <c r="N6" i="5"/>
  <c r="O6" i="5" s="1"/>
  <c r="P6" i="5" l="1"/>
  <c r="O38" i="5"/>
  <c r="O42" i="5"/>
  <c r="P10" i="5"/>
  <c r="P14" i="5"/>
  <c r="P18" i="5"/>
  <c r="P22" i="5"/>
  <c r="P26" i="5"/>
  <c r="P30" i="5"/>
  <c r="P34" i="5"/>
  <c r="O7" i="5"/>
  <c r="O11" i="5"/>
  <c r="O15" i="5"/>
  <c r="O19" i="5"/>
  <c r="O23" i="5"/>
  <c r="O27" i="5"/>
  <c r="O31" i="5"/>
  <c r="O35" i="5"/>
  <c r="O39" i="5"/>
  <c r="O43" i="5"/>
  <c r="P9" i="5"/>
  <c r="P13" i="5"/>
  <c r="P17" i="5"/>
  <c r="P21" i="5"/>
  <c r="P25" i="5"/>
  <c r="P29" i="5"/>
  <c r="P33" i="5"/>
  <c r="P37" i="5"/>
  <c r="P41" i="5"/>
  <c r="P8" i="5"/>
  <c r="P12" i="5"/>
  <c r="P16" i="5"/>
  <c r="P20" i="5"/>
  <c r="P24" i="5"/>
  <c r="P28" i="5"/>
  <c r="P32" i="5"/>
  <c r="P36" i="5"/>
  <c r="P40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F6" i="5" l="1"/>
  <c r="G6" i="5" s="1"/>
  <c r="F7" i="5"/>
  <c r="G7" i="5" s="1"/>
  <c r="F8" i="5"/>
  <c r="G8" i="5" s="1"/>
  <c r="F10" i="5"/>
  <c r="G10" i="5" s="1"/>
  <c r="F14" i="5"/>
  <c r="G14" i="5" s="1"/>
  <c r="F22" i="5"/>
  <c r="G22" i="5" s="1"/>
  <c r="F23" i="5"/>
  <c r="G23" i="5" s="1"/>
  <c r="F24" i="5"/>
  <c r="G24" i="5" s="1"/>
  <c r="F29" i="5"/>
  <c r="G29" i="5" s="1"/>
  <c r="F33" i="5"/>
  <c r="G33" i="5" s="1"/>
  <c r="F36" i="5"/>
  <c r="G36" i="5" s="1"/>
  <c r="F38" i="5"/>
  <c r="G38" i="5" s="1"/>
  <c r="F39" i="5"/>
  <c r="G39" i="5" s="1"/>
  <c r="F43" i="5"/>
  <c r="G43" i="5" s="1"/>
  <c r="F9" i="5"/>
  <c r="G9" i="5" s="1"/>
  <c r="F11" i="5"/>
  <c r="G11" i="5" s="1"/>
  <c r="F12" i="5"/>
  <c r="G12" i="5" s="1"/>
  <c r="F13" i="5"/>
  <c r="G13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5" i="5"/>
  <c r="G25" i="5" s="1"/>
  <c r="F26" i="5"/>
  <c r="G26" i="5" s="1"/>
  <c r="F27" i="5"/>
  <c r="G27" i="5" s="1"/>
  <c r="F28" i="5"/>
  <c r="G28" i="5" s="1"/>
  <c r="F30" i="5"/>
  <c r="G30" i="5" s="1"/>
  <c r="F31" i="5"/>
  <c r="G31" i="5" s="1"/>
  <c r="F32" i="5"/>
  <c r="G32" i="5" s="1"/>
  <c r="F34" i="5"/>
  <c r="G34" i="5" s="1"/>
  <c r="F35" i="5"/>
  <c r="G35" i="5" s="1"/>
  <c r="F37" i="5"/>
  <c r="G37" i="5" s="1"/>
  <c r="F40" i="5"/>
  <c r="G40" i="5" s="1"/>
  <c r="F41" i="5"/>
  <c r="G41" i="5" s="1"/>
  <c r="F42" i="5"/>
  <c r="G42" i="5" s="1"/>
</calcChain>
</file>

<file path=xl/sharedStrings.xml><?xml version="1.0" encoding="utf-8"?>
<sst xmlns="http://schemas.openxmlformats.org/spreadsheetml/2006/main" count="1861" uniqueCount="230">
  <si>
    <t>水道</t>
  </si>
  <si>
    <t>廃棄物処理</t>
  </si>
  <si>
    <t>他に分類されない会員制団体</t>
    <rPh sb="0" eb="1">
      <t>ホカ</t>
    </rPh>
    <rPh sb="2" eb="4">
      <t>ブンルイ</t>
    </rPh>
    <rPh sb="8" eb="11">
      <t>カイインセイ</t>
    </rPh>
    <rPh sb="11" eb="13">
      <t>ダンタイ</t>
    </rPh>
    <phoneticPr fontId="5"/>
  </si>
  <si>
    <t>事務用品</t>
    <rPh sb="0" eb="2">
      <t>ジム</t>
    </rPh>
    <rPh sb="2" eb="4">
      <t>ヨウヒン</t>
    </rPh>
    <phoneticPr fontId="5"/>
  </si>
  <si>
    <t>分類不明</t>
    <rPh sb="0" eb="2">
      <t>ブンルイ</t>
    </rPh>
    <rPh sb="2" eb="4">
      <t>フメイ</t>
    </rPh>
    <phoneticPr fontId="5"/>
  </si>
  <si>
    <t>内生部門計</t>
  </si>
  <si>
    <t>家計外消費支出（列）</t>
  </si>
  <si>
    <t>一般政府消費支出</t>
  </si>
  <si>
    <t>県内総固定資本形成（公的）</t>
    <rPh sb="0" eb="1">
      <t>ケン</t>
    </rPh>
    <phoneticPr fontId="6"/>
  </si>
  <si>
    <t>県内総固定資本形成（民間）</t>
    <rPh sb="0" eb="1">
      <t>ケン</t>
    </rPh>
    <phoneticPr fontId="6"/>
  </si>
  <si>
    <t>在庫純増</t>
  </si>
  <si>
    <t>輸出</t>
  </si>
  <si>
    <t>輸出計</t>
    <rPh sb="0" eb="2">
      <t>ユシュツ</t>
    </rPh>
    <rPh sb="2" eb="3">
      <t>ケイ</t>
    </rPh>
    <phoneticPr fontId="5"/>
  </si>
  <si>
    <t>移出</t>
    <rPh sb="0" eb="2">
      <t>イシュツ</t>
    </rPh>
    <phoneticPr fontId="6"/>
  </si>
  <si>
    <t>最終需要計</t>
  </si>
  <si>
    <t>需要合計</t>
  </si>
  <si>
    <t>（控除）輸入</t>
  </si>
  <si>
    <t>（控除）関税</t>
  </si>
  <si>
    <t>（控除）輸入品商品税</t>
  </si>
  <si>
    <t>（控除）輸入計</t>
  </si>
  <si>
    <t>家計外消費支出（行）</t>
  </si>
  <si>
    <t>営業余剰</t>
  </si>
  <si>
    <t>資本減耗引当</t>
  </si>
  <si>
    <t>間接税（関税・輸入品商品税を除く。）</t>
    <rPh sb="7" eb="9">
      <t>ユニュウ</t>
    </rPh>
    <rPh sb="9" eb="10">
      <t>ヒン</t>
    </rPh>
    <rPh sb="10" eb="12">
      <t>ショウヒン</t>
    </rPh>
    <rPh sb="12" eb="13">
      <t>ゼイ</t>
    </rPh>
    <phoneticPr fontId="7"/>
  </si>
  <si>
    <t>（控除）経常補助金</t>
  </si>
  <si>
    <t>粗付加価値部門計</t>
  </si>
  <si>
    <t>第２表　投入係数表</t>
    <rPh sb="0" eb="1">
      <t>ダイ</t>
    </rPh>
    <rPh sb="2" eb="3">
      <t>ヒョウ</t>
    </rPh>
    <rPh sb="4" eb="6">
      <t>トウニュウ</t>
    </rPh>
    <rPh sb="6" eb="8">
      <t>ケイスウ</t>
    </rPh>
    <rPh sb="8" eb="9">
      <t>ヒョウ</t>
    </rPh>
    <phoneticPr fontId="3"/>
  </si>
  <si>
    <t>列和</t>
    <rPh sb="0" eb="1">
      <t>レツ</t>
    </rPh>
    <rPh sb="1" eb="2">
      <t>ワ</t>
    </rPh>
    <phoneticPr fontId="3"/>
  </si>
  <si>
    <t>影響力係数</t>
    <rPh sb="0" eb="3">
      <t>エイキョウリョク</t>
    </rPh>
    <rPh sb="3" eb="5">
      <t>ケイスウ</t>
    </rPh>
    <phoneticPr fontId="8"/>
  </si>
  <si>
    <t>行和</t>
    <rPh sb="0" eb="1">
      <t>ギョウ</t>
    </rPh>
    <rPh sb="1" eb="2">
      <t>ワ</t>
    </rPh>
    <phoneticPr fontId="3"/>
  </si>
  <si>
    <t>感応度係数</t>
    <rPh sb="0" eb="3">
      <t>カンノウド</t>
    </rPh>
    <rPh sb="3" eb="5">
      <t>ケイスウ</t>
    </rPh>
    <phoneticPr fontId="6"/>
  </si>
  <si>
    <r>
      <t>第３表　逆行列係数表　(I-A)</t>
    </r>
    <r>
      <rPr>
        <vertAlign val="superscript"/>
        <sz val="10"/>
        <color theme="1"/>
        <rFont val="ＭＳ Ｐゴシック"/>
        <family val="3"/>
        <charset val="128"/>
        <scheme val="minor"/>
      </rPr>
      <t>-1</t>
    </r>
    <r>
      <rPr>
        <sz val="10"/>
        <color theme="1"/>
        <rFont val="ＭＳ Ｐゴシック"/>
        <family val="3"/>
        <charset val="128"/>
        <scheme val="minor"/>
      </rPr>
      <t>型</t>
    </r>
    <rPh sb="0" eb="1">
      <t>ダイ</t>
    </rPh>
    <rPh sb="2" eb="3">
      <t>ヒョウ</t>
    </rPh>
    <rPh sb="4" eb="7">
      <t>ギャクギョウレツ</t>
    </rPh>
    <rPh sb="7" eb="9">
      <t>ケイスウ</t>
    </rPh>
    <rPh sb="9" eb="10">
      <t>ヒョウ</t>
    </rPh>
    <rPh sb="18" eb="19">
      <t>ガタ</t>
    </rPh>
    <phoneticPr fontId="3"/>
  </si>
  <si>
    <r>
      <t>第４表　逆行列係数表　[I-(I-M)A]</t>
    </r>
    <r>
      <rPr>
        <vertAlign val="superscript"/>
        <sz val="10"/>
        <color theme="1"/>
        <rFont val="ＭＳ Ｐゴシック"/>
        <family val="3"/>
        <charset val="128"/>
        <scheme val="minor"/>
      </rPr>
      <t>-1</t>
    </r>
    <r>
      <rPr>
        <sz val="10"/>
        <color theme="1"/>
        <rFont val="ＭＳ Ｐゴシック"/>
        <family val="3"/>
        <charset val="128"/>
        <scheme val="minor"/>
      </rPr>
      <t>型</t>
    </r>
    <rPh sb="0" eb="1">
      <t>ダイ</t>
    </rPh>
    <rPh sb="2" eb="3">
      <t>ヒョウ</t>
    </rPh>
    <rPh sb="4" eb="7">
      <t>ギャクギョウレツ</t>
    </rPh>
    <rPh sb="7" eb="9">
      <t>ケイスウ</t>
    </rPh>
    <rPh sb="9" eb="10">
      <t>ヒョウ</t>
    </rPh>
    <rPh sb="23" eb="24">
      <t>ガタ</t>
    </rPh>
    <phoneticPr fontId="3"/>
  </si>
  <si>
    <t>第８表（その１）県内自給率・移輸入率表</t>
    <rPh sb="0" eb="1">
      <t>ダイ</t>
    </rPh>
    <rPh sb="2" eb="3">
      <t>ヒョウ</t>
    </rPh>
    <rPh sb="8" eb="10">
      <t>ケンナイ</t>
    </rPh>
    <rPh sb="10" eb="13">
      <t>ジキュウリツ</t>
    </rPh>
    <rPh sb="14" eb="17">
      <t>イユニュウ</t>
    </rPh>
    <rPh sb="17" eb="18">
      <t>リツ</t>
    </rPh>
    <rPh sb="18" eb="19">
      <t>ヒョウ</t>
    </rPh>
    <phoneticPr fontId="3"/>
  </si>
  <si>
    <t>第８表（その２）就業・雇用係数表</t>
    <rPh sb="0" eb="1">
      <t>ダイ</t>
    </rPh>
    <rPh sb="2" eb="3">
      <t>ヒョウ</t>
    </rPh>
    <rPh sb="8" eb="10">
      <t>シュウギョウ</t>
    </rPh>
    <rPh sb="11" eb="13">
      <t>コヨウ</t>
    </rPh>
    <rPh sb="13" eb="15">
      <t>ケイスウ</t>
    </rPh>
    <rPh sb="15" eb="16">
      <t>ヒョウ</t>
    </rPh>
    <phoneticPr fontId="3"/>
  </si>
  <si>
    <t>合計</t>
    <rPh sb="0" eb="2">
      <t>ゴウケイ</t>
    </rPh>
    <phoneticPr fontId="3"/>
  </si>
  <si>
    <t>合計</t>
    <rPh sb="0" eb="2">
      <t>ゴウケイ</t>
    </rPh>
    <phoneticPr fontId="8"/>
  </si>
  <si>
    <t>県内需要合計</t>
    <rPh sb="0" eb="2">
      <t>ケンナイ</t>
    </rPh>
    <rPh sb="2" eb="4">
      <t>ジュヨウ</t>
    </rPh>
    <rPh sb="4" eb="6">
      <t>ゴウケイ</t>
    </rPh>
    <phoneticPr fontId="3"/>
  </si>
  <si>
    <t>A</t>
  </si>
  <si>
    <t>A</t>
    <phoneticPr fontId="3"/>
  </si>
  <si>
    <t>移輸入計</t>
    <rPh sb="0" eb="3">
      <t>イユニュウ</t>
    </rPh>
    <rPh sb="3" eb="4">
      <t>ケイ</t>
    </rPh>
    <phoneticPr fontId="3"/>
  </si>
  <si>
    <t>B</t>
  </si>
  <si>
    <t>B</t>
    <phoneticPr fontId="3"/>
  </si>
  <si>
    <t>移輸入率</t>
    <rPh sb="0" eb="3">
      <t>イユニュウ</t>
    </rPh>
    <rPh sb="3" eb="4">
      <t>リツ</t>
    </rPh>
    <phoneticPr fontId="3"/>
  </si>
  <si>
    <t>県内自給率</t>
    <rPh sb="0" eb="2">
      <t>ケンナイ</t>
    </rPh>
    <rPh sb="2" eb="5">
      <t>ジキュウリツ</t>
    </rPh>
    <phoneticPr fontId="3"/>
  </si>
  <si>
    <t>C=B/A</t>
    <phoneticPr fontId="3"/>
  </si>
  <si>
    <t>D=1-C</t>
    <phoneticPr fontId="3"/>
  </si>
  <si>
    <t>（就業地ベース）</t>
    <rPh sb="1" eb="3">
      <t>シュウギョウ</t>
    </rPh>
    <rPh sb="3" eb="4">
      <t>チ</t>
    </rPh>
    <phoneticPr fontId="3"/>
  </si>
  <si>
    <t>就業者数</t>
    <rPh sb="0" eb="3">
      <t>シュウギョウシャ</t>
    </rPh>
    <rPh sb="3" eb="4">
      <t>スウ</t>
    </rPh>
    <phoneticPr fontId="2"/>
  </si>
  <si>
    <t>雇用者数</t>
    <rPh sb="0" eb="3">
      <t>コヨウシャ</t>
    </rPh>
    <rPh sb="3" eb="4">
      <t>スウ</t>
    </rPh>
    <phoneticPr fontId="2"/>
  </si>
  <si>
    <t>県内生産額</t>
    <rPh sb="0" eb="2">
      <t>ケンナイ</t>
    </rPh>
    <rPh sb="2" eb="5">
      <t>セイサンガク</t>
    </rPh>
    <phoneticPr fontId="2"/>
  </si>
  <si>
    <t>就業係数</t>
    <rPh sb="0" eb="2">
      <t>シュウギョウ</t>
    </rPh>
    <rPh sb="2" eb="4">
      <t>ケイスウ</t>
    </rPh>
    <phoneticPr fontId="2"/>
  </si>
  <si>
    <t>雇用係数</t>
    <rPh sb="0" eb="2">
      <t>コヨウ</t>
    </rPh>
    <rPh sb="2" eb="4">
      <t>ケイスウ</t>
    </rPh>
    <phoneticPr fontId="2"/>
  </si>
  <si>
    <t>C</t>
  </si>
  <si>
    <t>D=A/C</t>
  </si>
  <si>
    <t>E=B/C</t>
  </si>
  <si>
    <t>従業者総数</t>
    <rPh sb="0" eb="3">
      <t>ジュウギョウシャ</t>
    </rPh>
    <rPh sb="3" eb="5">
      <t>ソウスウ</t>
    </rPh>
    <phoneticPr fontId="3"/>
  </si>
  <si>
    <t>個人業主</t>
    <rPh sb="0" eb="2">
      <t>コジン</t>
    </rPh>
    <rPh sb="2" eb="4">
      <t>ギョウシュ</t>
    </rPh>
    <phoneticPr fontId="3"/>
  </si>
  <si>
    <t>家族従業者</t>
    <rPh sb="0" eb="2">
      <t>カゾク</t>
    </rPh>
    <rPh sb="2" eb="5">
      <t>ジュウギョウシャ</t>
    </rPh>
    <phoneticPr fontId="3"/>
  </si>
  <si>
    <t>有給役員</t>
    <rPh sb="0" eb="2">
      <t>ユウキュウ</t>
    </rPh>
    <rPh sb="2" eb="4">
      <t>ヤクイン</t>
    </rPh>
    <phoneticPr fontId="3"/>
  </si>
  <si>
    <t>雇用者</t>
    <rPh sb="0" eb="3">
      <t>コヨウシャ</t>
    </rPh>
    <phoneticPr fontId="3"/>
  </si>
  <si>
    <t>常用雇用者</t>
    <rPh sb="0" eb="2">
      <t>ジョウヨウ</t>
    </rPh>
    <rPh sb="2" eb="5">
      <t>コヨウシャ</t>
    </rPh>
    <phoneticPr fontId="3"/>
  </si>
  <si>
    <t>臨時雇用者</t>
    <rPh sb="0" eb="2">
      <t>リンジ</t>
    </rPh>
    <rPh sb="2" eb="5">
      <t>コヨウシャ</t>
    </rPh>
    <phoneticPr fontId="3"/>
  </si>
  <si>
    <t>有給役員
・雇用者</t>
    <rPh sb="0" eb="2">
      <t>ユウキュウ</t>
    </rPh>
    <rPh sb="2" eb="4">
      <t>ヤクイン</t>
    </rPh>
    <phoneticPr fontId="3"/>
  </si>
  <si>
    <t>正社員
・正職員</t>
    <rPh sb="0" eb="3">
      <t>セイシャイン</t>
    </rPh>
    <rPh sb="5" eb="8">
      <t>セイショクイン</t>
    </rPh>
    <phoneticPr fontId="3"/>
  </si>
  <si>
    <t>正社員
・正職員以外</t>
    <rPh sb="0" eb="3">
      <t>セイシャイン</t>
    </rPh>
    <rPh sb="5" eb="8">
      <t>セイショクイン</t>
    </rPh>
    <rPh sb="8" eb="10">
      <t>イガイ</t>
    </rPh>
    <phoneticPr fontId="3"/>
  </si>
  <si>
    <t>その他の製造工業製品</t>
  </si>
  <si>
    <t>商業</t>
  </si>
  <si>
    <t>金融・保険</t>
  </si>
  <si>
    <t>公務</t>
  </si>
  <si>
    <t>民間消費支出</t>
  </si>
  <si>
    <t>雇用者所得</t>
  </si>
  <si>
    <t>はん用機械</t>
    <rPh sb="2" eb="3">
      <t>ヨウ</t>
    </rPh>
    <rPh sb="3" eb="5">
      <t>キカイ</t>
    </rPh>
    <phoneticPr fontId="5"/>
  </si>
  <si>
    <t>生産用機械</t>
    <rPh sb="0" eb="2">
      <t>セイサン</t>
    </rPh>
    <rPh sb="2" eb="3">
      <t>ヨウ</t>
    </rPh>
    <rPh sb="3" eb="5">
      <t>キカイ</t>
    </rPh>
    <phoneticPr fontId="5"/>
  </si>
  <si>
    <t>業務用機械</t>
    <rPh sb="0" eb="2">
      <t>ギョウム</t>
    </rPh>
    <rPh sb="2" eb="3">
      <t>ヨウ</t>
    </rPh>
    <rPh sb="3" eb="5">
      <t>キカイ</t>
    </rPh>
    <phoneticPr fontId="5"/>
  </si>
  <si>
    <t>01</t>
  </si>
  <si>
    <t>農業</t>
  </si>
  <si>
    <t>06</t>
  </si>
  <si>
    <t>鉱業</t>
    <rPh sb="0" eb="2">
      <t>コウギョウ</t>
    </rPh>
    <phoneticPr fontId="5"/>
  </si>
  <si>
    <t>11</t>
  </si>
  <si>
    <t>飲食料品</t>
    <rPh sb="0" eb="2">
      <t>インショク</t>
    </rPh>
    <phoneticPr fontId="5"/>
  </si>
  <si>
    <t>15</t>
  </si>
  <si>
    <t>繊維製品</t>
  </si>
  <si>
    <t>16</t>
  </si>
  <si>
    <t>パルプ・紙・木製品</t>
  </si>
  <si>
    <t>20</t>
  </si>
  <si>
    <t>化学製品</t>
  </si>
  <si>
    <t>21</t>
  </si>
  <si>
    <t>石油・石炭製品</t>
  </si>
  <si>
    <t>22</t>
  </si>
  <si>
    <t>プラスチック・ゴム製品</t>
    <rPh sb="9" eb="11">
      <t>セイヒン</t>
    </rPh>
    <phoneticPr fontId="5"/>
  </si>
  <si>
    <t>25</t>
  </si>
  <si>
    <t>窯業・土石製品</t>
  </si>
  <si>
    <t>26</t>
  </si>
  <si>
    <t>鉄鋼</t>
  </si>
  <si>
    <t>27</t>
  </si>
  <si>
    <t>非鉄金属</t>
  </si>
  <si>
    <t>28</t>
  </si>
  <si>
    <t>金属製品</t>
  </si>
  <si>
    <t>29</t>
  </si>
  <si>
    <t>30</t>
  </si>
  <si>
    <t>31</t>
  </si>
  <si>
    <t>32</t>
  </si>
  <si>
    <t>電子部品</t>
    <rPh sb="0" eb="2">
      <t>デンシ</t>
    </rPh>
    <rPh sb="2" eb="4">
      <t>ブヒン</t>
    </rPh>
    <phoneticPr fontId="5"/>
  </si>
  <si>
    <t>33</t>
  </si>
  <si>
    <t>電気機械</t>
  </si>
  <si>
    <t>34</t>
  </si>
  <si>
    <t>情報通信機器</t>
    <rPh sb="0" eb="2">
      <t>ジョウホウ</t>
    </rPh>
    <rPh sb="2" eb="4">
      <t>ツウシン</t>
    </rPh>
    <rPh sb="4" eb="6">
      <t>キキ</t>
    </rPh>
    <phoneticPr fontId="5"/>
  </si>
  <si>
    <t>35</t>
  </si>
  <si>
    <t>輸送機械</t>
  </si>
  <si>
    <t>39</t>
  </si>
  <si>
    <t>41</t>
  </si>
  <si>
    <t>建設</t>
  </si>
  <si>
    <t>46</t>
  </si>
  <si>
    <t>電気・ガス・熱供給</t>
    <rPh sb="0" eb="2">
      <t>デンキ</t>
    </rPh>
    <phoneticPr fontId="6"/>
  </si>
  <si>
    <t>47</t>
  </si>
  <si>
    <t>48</t>
  </si>
  <si>
    <t>51</t>
  </si>
  <si>
    <t>53</t>
  </si>
  <si>
    <t>55</t>
  </si>
  <si>
    <t>不動産</t>
  </si>
  <si>
    <t>57</t>
  </si>
  <si>
    <t>運輸・郵便</t>
    <rPh sb="3" eb="5">
      <t>ユウビン</t>
    </rPh>
    <phoneticPr fontId="6"/>
  </si>
  <si>
    <t>59</t>
  </si>
  <si>
    <t>情報通信</t>
    <rPh sb="0" eb="2">
      <t>ジョウホウ</t>
    </rPh>
    <rPh sb="2" eb="4">
      <t>ツウシン</t>
    </rPh>
    <phoneticPr fontId="5"/>
  </si>
  <si>
    <t>61</t>
  </si>
  <si>
    <t>63</t>
  </si>
  <si>
    <t>教育・研究</t>
  </si>
  <si>
    <t>64</t>
  </si>
  <si>
    <t>医療・福祉</t>
    <rPh sb="0" eb="2">
      <t>イリョウ</t>
    </rPh>
    <rPh sb="3" eb="5">
      <t>フクシ</t>
    </rPh>
    <phoneticPr fontId="5"/>
  </si>
  <si>
    <t>65</t>
  </si>
  <si>
    <t>66</t>
  </si>
  <si>
    <t>対事業所サービス</t>
  </si>
  <si>
    <t>67</t>
  </si>
  <si>
    <t>対個人サービス</t>
    <rPh sb="0" eb="1">
      <t>タイ</t>
    </rPh>
    <rPh sb="1" eb="3">
      <t>コジン</t>
    </rPh>
    <phoneticPr fontId="6"/>
  </si>
  <si>
    <t>68</t>
  </si>
  <si>
    <t>69</t>
  </si>
  <si>
    <t>70</t>
  </si>
  <si>
    <t>71</t>
  </si>
  <si>
    <t>91</t>
  </si>
  <si>
    <t>92</t>
  </si>
  <si>
    <t>93</t>
  </si>
  <si>
    <t>94</t>
  </si>
  <si>
    <t>95</t>
  </si>
  <si>
    <t>96</t>
  </si>
  <si>
    <t>97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</si>
  <si>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</si>
  <si>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</si>
  <si>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</si>
  <si>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</si>
  <si>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</si>
  <si>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</si>
  <si>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</si>
  <si>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</si>
  <si>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</si>
  <si>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98</t>
  </si>
  <si>
    <t>99</t>
  </si>
  <si>
    <t>82</t>
  </si>
  <si>
    <t>83</t>
  </si>
  <si>
    <t>84</t>
  </si>
  <si>
    <t>85</t>
  </si>
  <si>
    <t>86</t>
  </si>
  <si>
    <t>87</t>
  </si>
  <si>
    <t>100</t>
  </si>
  <si>
    <t>101</t>
  </si>
  <si>
    <t>88</t>
  </si>
  <si>
    <t>第５表（その１）最終需要項目別生産誘発額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7">
      <t>セイサン</t>
    </rPh>
    <rPh sb="17" eb="19">
      <t>ユウハツ</t>
    </rPh>
    <rPh sb="19" eb="20">
      <t>ガク</t>
    </rPh>
    <phoneticPr fontId="3"/>
  </si>
  <si>
    <t>第５表（その２）最終需要項目別生産誘発係数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7">
      <t>セイサン</t>
    </rPh>
    <rPh sb="17" eb="19">
      <t>ユウハツ</t>
    </rPh>
    <rPh sb="19" eb="21">
      <t>ケイスウ</t>
    </rPh>
    <phoneticPr fontId="3"/>
  </si>
  <si>
    <t>第５表（その３）最終需要項目別生産誘発依存度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7">
      <t>セイサン</t>
    </rPh>
    <rPh sb="17" eb="19">
      <t>ユウハツ</t>
    </rPh>
    <rPh sb="19" eb="22">
      <t>イソンド</t>
    </rPh>
    <phoneticPr fontId="3"/>
  </si>
  <si>
    <t>合計</t>
    <rPh sb="0" eb="2">
      <t>ゴウケイ</t>
    </rPh>
    <phoneticPr fontId="6"/>
  </si>
  <si>
    <t>平均</t>
    <rPh sb="0" eb="2">
      <t>ヘイキン</t>
    </rPh>
    <phoneticPr fontId="6"/>
  </si>
  <si>
    <t>第６表（その１）最終需要項目別粗付加価値誘発額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8">
      <t>ソフカ</t>
    </rPh>
    <rPh sb="18" eb="20">
      <t>カチ</t>
    </rPh>
    <rPh sb="20" eb="22">
      <t>ユウハツ</t>
    </rPh>
    <rPh sb="22" eb="23">
      <t>ガク</t>
    </rPh>
    <phoneticPr fontId="3"/>
  </si>
  <si>
    <t>第６表（その２）最終需要項目別粗付加価値誘発係数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8">
      <t>ソフカ</t>
    </rPh>
    <rPh sb="18" eb="20">
      <t>カチ</t>
    </rPh>
    <rPh sb="20" eb="22">
      <t>ユウハツ</t>
    </rPh>
    <rPh sb="22" eb="24">
      <t>ケイスウ</t>
    </rPh>
    <phoneticPr fontId="3"/>
  </si>
  <si>
    <t>第６表（その３）最終需要項目別粗付加価値誘発依存度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8">
      <t>ソフカ</t>
    </rPh>
    <rPh sb="18" eb="20">
      <t>カチ</t>
    </rPh>
    <rPh sb="20" eb="22">
      <t>ユウハツ</t>
    </rPh>
    <rPh sb="22" eb="25">
      <t>イソンド</t>
    </rPh>
    <phoneticPr fontId="3"/>
  </si>
  <si>
    <t>第７表（その１）最終需要項目別移輸入誘発額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8">
      <t>イユニュウ</t>
    </rPh>
    <rPh sb="18" eb="20">
      <t>ユウハツ</t>
    </rPh>
    <rPh sb="20" eb="21">
      <t>ガク</t>
    </rPh>
    <phoneticPr fontId="3"/>
  </si>
  <si>
    <t>第７表（その２）最終需要項目別移輸入誘発係数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8">
      <t>イユニュウ</t>
    </rPh>
    <rPh sb="18" eb="20">
      <t>ユウハツ</t>
    </rPh>
    <rPh sb="20" eb="22">
      <t>ケイスウ</t>
    </rPh>
    <phoneticPr fontId="3"/>
  </si>
  <si>
    <t>第７表（その３）最終需要項目別移輸入誘発依存度</t>
    <rPh sb="0" eb="1">
      <t>ダイ</t>
    </rPh>
    <rPh sb="2" eb="3">
      <t>ヒョウ</t>
    </rPh>
    <rPh sb="8" eb="10">
      <t>サイシュウ</t>
    </rPh>
    <rPh sb="10" eb="12">
      <t>ジュヨウ</t>
    </rPh>
    <rPh sb="12" eb="14">
      <t>コウモク</t>
    </rPh>
    <rPh sb="14" eb="15">
      <t>ベツ</t>
    </rPh>
    <rPh sb="15" eb="18">
      <t>イユニュウ</t>
    </rPh>
    <rPh sb="18" eb="20">
      <t>ユウハツ</t>
    </rPh>
    <rPh sb="20" eb="23">
      <t>イソンド</t>
    </rPh>
    <phoneticPr fontId="3"/>
  </si>
  <si>
    <t>（単位：人）</t>
    <rPh sb="1" eb="3">
      <t>タンイ</t>
    </rPh>
    <rPh sb="4" eb="5">
      <t>ニン</t>
    </rPh>
    <phoneticPr fontId="3"/>
  </si>
  <si>
    <t>第１表　取引基本表（生産者価格表）≪統合大分類≫</t>
    <rPh sb="0" eb="1">
      <t>ダイ</t>
    </rPh>
    <rPh sb="2" eb="3">
      <t>ヒョウ</t>
    </rPh>
    <rPh sb="4" eb="6">
      <t>トリヒキ</t>
    </rPh>
    <rPh sb="6" eb="9">
      <t>キホンヒョウ</t>
    </rPh>
    <rPh sb="10" eb="13">
      <t>セイサンシャ</t>
    </rPh>
    <rPh sb="13" eb="16">
      <t>カカクヒョウ</t>
    </rPh>
    <rPh sb="18" eb="20">
      <t>トウゴウ</t>
    </rPh>
    <rPh sb="20" eb="23">
      <t>ダイブンルイ</t>
    </rPh>
    <phoneticPr fontId="3"/>
  </si>
  <si>
    <t>農林漁業</t>
  </si>
  <si>
    <t>鉱業</t>
  </si>
  <si>
    <t>飲食料品</t>
  </si>
  <si>
    <t>プラスチック・ゴム製品</t>
  </si>
  <si>
    <t>はん用機械</t>
  </si>
  <si>
    <t>生産用機械</t>
  </si>
  <si>
    <t>業務用機械</t>
  </si>
  <si>
    <t>電子部品</t>
  </si>
  <si>
    <t>情報通信機器</t>
  </si>
  <si>
    <t>電気・ガス・熱供給</t>
  </si>
  <si>
    <t>運輸・郵便</t>
  </si>
  <si>
    <t>情報通信</t>
  </si>
  <si>
    <t>医療・福祉</t>
  </si>
  <si>
    <t>他に分類されない会員制団体</t>
  </si>
  <si>
    <t>対個人サービス</t>
  </si>
  <si>
    <t>事務用品</t>
  </si>
  <si>
    <t>分類不明</t>
  </si>
  <si>
    <t>県内総固定資本形成（公的）</t>
    <rPh sb="0" eb="1">
      <t>ケン</t>
    </rPh>
    <phoneticPr fontId="10"/>
  </si>
  <si>
    <t>県内総固定資本形成（民間）</t>
    <rPh sb="0" eb="1">
      <t>ケン</t>
    </rPh>
    <phoneticPr fontId="10"/>
  </si>
  <si>
    <t>県内最終需要計</t>
    <rPh sb="0" eb="1">
      <t>ケン</t>
    </rPh>
    <phoneticPr fontId="10"/>
  </si>
  <si>
    <t>県内需要合計</t>
    <rPh sb="0" eb="1">
      <t>ケン</t>
    </rPh>
    <phoneticPr fontId="10"/>
  </si>
  <si>
    <t>輸出計</t>
    <rPh sb="0" eb="2">
      <t>ユシュツ</t>
    </rPh>
    <rPh sb="2" eb="3">
      <t>ケイ</t>
    </rPh>
    <phoneticPr fontId="11"/>
  </si>
  <si>
    <t>移出</t>
    <rPh sb="0" eb="2">
      <t>イシュツ</t>
    </rPh>
    <phoneticPr fontId="10"/>
  </si>
  <si>
    <t>移輸出計</t>
    <rPh sb="0" eb="1">
      <t>イ</t>
    </rPh>
    <rPh sb="1" eb="3">
      <t>ユシュツ</t>
    </rPh>
    <rPh sb="3" eb="4">
      <t>ケイ</t>
    </rPh>
    <phoneticPr fontId="10"/>
  </si>
  <si>
    <t>（控除）移入</t>
    <rPh sb="1" eb="3">
      <t>コウジョ</t>
    </rPh>
    <rPh sb="4" eb="6">
      <t>イニュウ</t>
    </rPh>
    <phoneticPr fontId="10"/>
  </si>
  <si>
    <t>（控除）移輸入計</t>
    <rPh sb="1" eb="3">
      <t>コウジョ</t>
    </rPh>
    <rPh sb="4" eb="5">
      <t>イ</t>
    </rPh>
    <rPh sb="5" eb="7">
      <t>ユニュウ</t>
    </rPh>
    <rPh sb="7" eb="8">
      <t>ケイ</t>
    </rPh>
    <phoneticPr fontId="10"/>
  </si>
  <si>
    <t>最終需要部門計</t>
    <rPh sb="4" eb="6">
      <t>ブモン</t>
    </rPh>
    <phoneticPr fontId="10"/>
  </si>
  <si>
    <t>県内生産額</t>
    <rPh sb="0" eb="1">
      <t>ケン</t>
    </rPh>
    <phoneticPr fontId="10"/>
  </si>
  <si>
    <t>（単位：100万円）</t>
    <rPh sb="1" eb="3">
      <t>タンイ</t>
    </rPh>
    <rPh sb="7" eb="9">
      <t>マンエン</t>
    </rPh>
    <phoneticPr fontId="3"/>
  </si>
  <si>
    <t>県内生産額</t>
    <rPh sb="0" eb="1">
      <t>ケン</t>
    </rPh>
    <phoneticPr fontId="12"/>
  </si>
  <si>
    <t>鉱業</t>
    <phoneticPr fontId="5"/>
  </si>
  <si>
    <t>飲食料品</t>
    <phoneticPr fontId="5"/>
  </si>
  <si>
    <t>プラスチック・ゴム製品</t>
    <phoneticPr fontId="5"/>
  </si>
  <si>
    <t>はん用機械</t>
    <phoneticPr fontId="5"/>
  </si>
  <si>
    <t>生産用機械</t>
    <phoneticPr fontId="5"/>
  </si>
  <si>
    <t>業務用機械</t>
    <phoneticPr fontId="5"/>
  </si>
  <si>
    <t>電子部品</t>
    <phoneticPr fontId="5"/>
  </si>
  <si>
    <t>情報通信機器</t>
    <phoneticPr fontId="5"/>
  </si>
  <si>
    <t>電気・ガス・熱供給</t>
    <phoneticPr fontId="6"/>
  </si>
  <si>
    <t>運輸・郵便</t>
    <phoneticPr fontId="6"/>
  </si>
  <si>
    <t>情報通信</t>
    <phoneticPr fontId="5"/>
  </si>
  <si>
    <t>医療・福祉</t>
    <phoneticPr fontId="5"/>
  </si>
  <si>
    <t>他に分類されない会員制団体</t>
    <phoneticPr fontId="5"/>
  </si>
  <si>
    <t>対個人サービス</t>
    <phoneticPr fontId="6"/>
  </si>
  <si>
    <t>事務用品</t>
    <phoneticPr fontId="5"/>
  </si>
  <si>
    <t>分類不明</t>
    <phoneticPr fontId="5"/>
  </si>
  <si>
    <t>統合大分類（37部門）</t>
    <rPh sb="2" eb="3">
      <t>ダイ</t>
    </rPh>
    <phoneticPr fontId="3"/>
  </si>
  <si>
    <t>令和２年（2020年）長野県産業連関表</t>
    <rPh sb="0" eb="2">
      <t>レイワ</t>
    </rPh>
    <rPh sb="3" eb="4">
      <t>ネン</t>
    </rPh>
    <rPh sb="9" eb="10">
      <t>ネン</t>
    </rPh>
    <rPh sb="11" eb="13">
      <t>ナガノ</t>
    </rPh>
    <rPh sb="13" eb="14">
      <t>ケン</t>
    </rPh>
    <rPh sb="14" eb="16">
      <t>サンギョウ</t>
    </rPh>
    <rPh sb="16" eb="19">
      <t>レンカンヒョウ</t>
    </rPh>
    <phoneticPr fontId="3"/>
  </si>
  <si>
    <t>(100万円)</t>
    <rPh sb="4" eb="6">
      <t>マンエン</t>
    </rPh>
    <phoneticPr fontId="3"/>
  </si>
  <si>
    <t>（人／100万円）</t>
    <rPh sb="1" eb="2">
      <t>ニン</t>
    </rPh>
    <rPh sb="6" eb="8">
      <t>マンエン</t>
    </rPh>
    <phoneticPr fontId="3"/>
  </si>
  <si>
    <t>第９表　雇用表（付帯表）従業形態別実数表</t>
    <rPh sb="0" eb="1">
      <t>ダイ</t>
    </rPh>
    <rPh sb="2" eb="3">
      <t>ヒョウ</t>
    </rPh>
    <rPh sb="4" eb="6">
      <t>コヨウ</t>
    </rPh>
    <rPh sb="6" eb="7">
      <t>ヒョウ</t>
    </rPh>
    <rPh sb="8" eb="10">
      <t>フタイ</t>
    </rPh>
    <rPh sb="10" eb="11">
      <t>ヒョウ</t>
    </rPh>
    <rPh sb="12" eb="14">
      <t>ジュウギョウ</t>
    </rPh>
    <rPh sb="14" eb="17">
      <t>ケイタイベツ</t>
    </rPh>
    <rPh sb="17" eb="19">
      <t>ジッスウ</t>
    </rPh>
    <rPh sb="19" eb="20">
      <t>ヒョウ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</si>
</sst>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▲\ #,##0"/>
    <numFmt numFmtId="177" formatCode="#,##0.000000;\▲\ #,##0.000000"/>
  </numFmts>
  <fonts count="13">
    <font>
      <sz val="12"/>
      <color theme="1"/>
      <name val="MS Gothic"/>
      <family val="2"/>
      <charset val="128"/>
    </font>
    <font>
      <sz val="12"/>
      <color theme="1"/>
      <name val="MS Gothic"/>
      <family val="2"/>
      <charset val="128"/>
    </font>
    <font>
      <b/>
      <sz val="13"/>
      <color theme="3"/>
      <name val="MS Gothic"/>
      <family val="2"/>
      <charset val="128"/>
    </font>
    <font>
      <sz val="6"/>
      <name val="MS Gothic"/>
      <family val="2"/>
      <charset val="128"/>
    </font>
    <font>
      <sz val="10"/>
      <color theme="1"/>
      <name val="ＭＳ Ｐゴシック"/>
      <family val="3"/>
      <charset val="128"/>
      <scheme val="minor"/>
    </font>
    <font>
      <b/>
      <sz val="15"/>
      <color theme="3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</font>
    <font>
      <vertAlign val="superscript"/>
      <sz val="10"/>
      <color theme="1"/>
      <name val="ＭＳ Ｐゴシック"/>
      <family val="3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3" xfId="0" applyFont="1" applyBorder="1">
      <alignment vertical="center"/>
    </xf>
    <xf numFmtId="176" fontId="4" fillId="0" borderId="0" xfId="1" applyNumberFormat="1" applyFont="1" applyBorder="1">
      <alignment vertical="center"/>
    </xf>
    <xf numFmtId="176" fontId="4" fillId="0" borderId="11" xfId="1" applyNumberFormat="1" applyFont="1" applyBorder="1">
      <alignment vertical="center"/>
    </xf>
    <xf numFmtId="176" fontId="4" fillId="0" borderId="10" xfId="1" applyNumberFormat="1" applyFont="1" applyBorder="1">
      <alignment vertical="center"/>
    </xf>
    <xf numFmtId="176" fontId="4" fillId="0" borderId="14" xfId="1" applyNumberFormat="1" applyFont="1" applyBorder="1">
      <alignment vertical="center"/>
    </xf>
    <xf numFmtId="176" fontId="4" fillId="0" borderId="15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176" fontId="4" fillId="0" borderId="3" xfId="1" applyNumberFormat="1" applyFont="1" applyBorder="1">
      <alignment vertical="center"/>
    </xf>
    <xf numFmtId="176" fontId="4" fillId="0" borderId="4" xfId="1" applyNumberFormat="1" applyFont="1" applyBorder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 applyBorder="1">
      <alignment vertical="center"/>
    </xf>
    <xf numFmtId="177" fontId="4" fillId="0" borderId="11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77" fontId="4" fillId="0" borderId="14" xfId="1" applyNumberFormat="1" applyFont="1" applyBorder="1">
      <alignment vertical="center"/>
    </xf>
    <xf numFmtId="177" fontId="4" fillId="0" borderId="15" xfId="1" applyNumberFormat="1" applyFont="1" applyBorder="1">
      <alignment vertical="center"/>
    </xf>
    <xf numFmtId="177" fontId="4" fillId="0" borderId="13" xfId="1" applyNumberFormat="1" applyFont="1" applyBorder="1">
      <alignment vertical="center"/>
    </xf>
    <xf numFmtId="177" fontId="4" fillId="0" borderId="3" xfId="1" applyNumberFormat="1" applyFont="1" applyBorder="1">
      <alignment vertical="center"/>
    </xf>
    <xf numFmtId="177" fontId="4" fillId="0" borderId="4" xfId="1" applyNumberFormat="1" applyFont="1" applyBorder="1">
      <alignment vertical="center"/>
    </xf>
    <xf numFmtId="177" fontId="4" fillId="0" borderId="0" xfId="1" applyNumberFormat="1" applyFo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7" xfId="0" applyFont="1" applyBorder="1" applyAlignment="1">
      <alignment vertical="top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176" fontId="4" fillId="0" borderId="9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2" xfId="1" applyNumberFormat="1" applyFont="1" applyBorder="1">
      <alignment vertical="center"/>
    </xf>
    <xf numFmtId="0" fontId="4" fillId="0" borderId="8" xfId="0" applyFont="1" applyBorder="1">
      <alignment vertical="center"/>
    </xf>
    <xf numFmtId="177" fontId="4" fillId="0" borderId="9" xfId="1" applyNumberFormat="1" applyFont="1" applyBorder="1">
      <alignment vertical="center"/>
    </xf>
    <xf numFmtId="177" fontId="4" fillId="0" borderId="12" xfId="1" applyNumberFormat="1" applyFont="1" applyBorder="1">
      <alignment vertical="center"/>
    </xf>
    <xf numFmtId="177" fontId="4" fillId="0" borderId="2" xfId="1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177" fontId="4" fillId="0" borderId="4" xfId="0" applyNumberFormat="1" applyFont="1" applyBorder="1">
      <alignment vertical="center"/>
    </xf>
    <xf numFmtId="177" fontId="4" fillId="0" borderId="9" xfId="0" applyNumberFormat="1" applyFont="1" applyBorder="1">
      <alignment vertical="center"/>
    </xf>
    <xf numFmtId="177" fontId="4" fillId="0" borderId="11" xfId="0" applyNumberFormat="1" applyFont="1" applyBorder="1">
      <alignment vertical="center"/>
    </xf>
    <xf numFmtId="177" fontId="4" fillId="0" borderId="3" xfId="0" applyNumberFormat="1" applyFont="1" applyBorder="1">
      <alignment vertical="center"/>
    </xf>
    <xf numFmtId="177" fontId="4" fillId="0" borderId="0" xfId="0" applyNumberFormat="1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8" fontId="4" fillId="0" borderId="11" xfId="1" applyFont="1" applyBorder="1">
      <alignment vertical="center"/>
    </xf>
    <xf numFmtId="38" fontId="4" fillId="0" borderId="0" xfId="1" applyFont="1" applyBorder="1">
      <alignment vertical="center"/>
    </xf>
    <xf numFmtId="38" fontId="4" fillId="0" borderId="15" xfId="1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Legac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4EAD-BA71-4CFA-BBA3-0EFDA7D51742}">
  <dimension ref="A1:BM96"/>
  <sheetViews>
    <sheetView tabSelected="1" zoomScaleNormal="100" workbookViewId="0">
      <pane xSplit="3" ySplit="5" topLeftCell="D6" activePane="bottomRight" state="frozen"/>
      <selection activeCell="H40" sqref="H40"/>
      <selection pane="topRight" activeCell="H40" sqref="H40"/>
      <selection pane="bottomLeft" activeCell="H40" sqref="H40"/>
      <selection pane="bottomRight" activeCell="D6" sqref="D6"/>
    </sheetView>
  </sheetViews>
  <sheetFormatPr defaultColWidth="8.69921875" defaultRowHeight="14.4"/>
  <cols>
    <col min="1" max="1" width="4.19921875" style="1" customWidth="1"/>
    <col min="2" max="2" width="4.09765625" style="1" customWidth="1"/>
    <col min="3" max="3" width="29.59765625" style="1" bestFit="1" customWidth="1"/>
    <col min="4" max="63" width="10.59765625" style="1" customWidth="1"/>
    <col min="64" max="64" width="8.69921875" style="1"/>
    <col min="66" max="16384" width="8.69921875" style="1"/>
  </cols>
  <sheetData>
    <row r="1" spans="1:63">
      <c r="A1" s="1" t="s">
        <v>226</v>
      </c>
    </row>
    <row r="2" spans="1:63">
      <c r="A2" s="1" t="s">
        <v>178</v>
      </c>
      <c r="BK2" s="68" t="s">
        <v>207</v>
      </c>
    </row>
    <row r="3" spans="1:63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17">
        <v>9</v>
      </c>
      <c r="M3" s="17">
        <v>10</v>
      </c>
      <c r="N3" s="17">
        <v>11</v>
      </c>
      <c r="O3" s="17">
        <v>12</v>
      </c>
      <c r="P3" s="17">
        <v>13</v>
      </c>
      <c r="Q3" s="17">
        <v>14</v>
      </c>
      <c r="R3" s="17">
        <v>15</v>
      </c>
      <c r="S3" s="17">
        <v>16</v>
      </c>
      <c r="T3" s="17">
        <v>17</v>
      </c>
      <c r="U3" s="17">
        <v>18</v>
      </c>
      <c r="V3" s="17">
        <v>19</v>
      </c>
      <c r="W3" s="17">
        <v>20</v>
      </c>
      <c r="X3" s="17">
        <v>21</v>
      </c>
      <c r="Y3" s="17">
        <v>22</v>
      </c>
      <c r="Z3" s="17">
        <v>23</v>
      </c>
      <c r="AA3" s="17">
        <v>24</v>
      </c>
      <c r="AB3" s="17">
        <v>25</v>
      </c>
      <c r="AC3" s="17">
        <v>26</v>
      </c>
      <c r="AD3" s="17">
        <v>27</v>
      </c>
      <c r="AE3" s="17">
        <v>28</v>
      </c>
      <c r="AF3" s="17">
        <v>29</v>
      </c>
      <c r="AG3" s="17">
        <v>30</v>
      </c>
      <c r="AH3" s="17">
        <v>31</v>
      </c>
      <c r="AI3" s="17">
        <v>32</v>
      </c>
      <c r="AJ3" s="17">
        <v>33</v>
      </c>
      <c r="AK3" s="17">
        <v>34</v>
      </c>
      <c r="AL3" s="17">
        <v>35</v>
      </c>
      <c r="AM3" s="17">
        <v>36</v>
      </c>
      <c r="AN3" s="17">
        <v>37</v>
      </c>
      <c r="AO3" s="17">
        <v>38</v>
      </c>
      <c r="AP3" s="17">
        <v>39</v>
      </c>
      <c r="AQ3" s="17">
        <v>40</v>
      </c>
      <c r="AR3" s="17">
        <v>41</v>
      </c>
      <c r="AS3" s="17">
        <v>42</v>
      </c>
      <c r="AT3" s="17">
        <v>43</v>
      </c>
      <c r="AU3" s="17">
        <v>44</v>
      </c>
      <c r="AV3" s="17">
        <v>45</v>
      </c>
      <c r="AW3" s="17">
        <v>46</v>
      </c>
      <c r="AX3" s="17">
        <v>47</v>
      </c>
      <c r="AY3" s="17">
        <v>48</v>
      </c>
      <c r="AZ3" s="17">
        <v>49</v>
      </c>
      <c r="BA3" s="17">
        <v>50</v>
      </c>
      <c r="BB3" s="17">
        <v>51</v>
      </c>
      <c r="BC3" s="17">
        <v>52</v>
      </c>
      <c r="BD3" s="17">
        <v>53</v>
      </c>
      <c r="BE3" s="17">
        <v>54</v>
      </c>
      <c r="BF3" s="17">
        <v>55</v>
      </c>
      <c r="BG3" s="17">
        <v>56</v>
      </c>
      <c r="BH3" s="17">
        <v>57</v>
      </c>
      <c r="BI3" s="17">
        <v>58</v>
      </c>
      <c r="BJ3" s="17">
        <v>59</v>
      </c>
      <c r="BK3" s="20">
        <v>60</v>
      </c>
    </row>
    <row r="4" spans="1:63">
      <c r="A4" s="10"/>
      <c r="B4" s="16"/>
      <c r="C4" s="18"/>
      <c r="D4" s="4" t="s">
        <v>75</v>
      </c>
      <c r="E4" s="4" t="s">
        <v>77</v>
      </c>
      <c r="F4" s="4" t="s">
        <v>79</v>
      </c>
      <c r="G4" s="4" t="s">
        <v>81</v>
      </c>
      <c r="H4" s="4" t="s">
        <v>83</v>
      </c>
      <c r="I4" s="4" t="s">
        <v>85</v>
      </c>
      <c r="J4" s="4" t="s">
        <v>87</v>
      </c>
      <c r="K4" s="4" t="s">
        <v>89</v>
      </c>
      <c r="L4" s="4" t="s">
        <v>91</v>
      </c>
      <c r="M4" s="4" t="s">
        <v>93</v>
      </c>
      <c r="N4" s="4" t="s">
        <v>95</v>
      </c>
      <c r="O4" s="4" t="s">
        <v>97</v>
      </c>
      <c r="P4" s="4" t="s">
        <v>99</v>
      </c>
      <c r="Q4" s="4" t="s">
        <v>100</v>
      </c>
      <c r="R4" s="4" t="s">
        <v>101</v>
      </c>
      <c r="S4" s="4" t="s">
        <v>102</v>
      </c>
      <c r="T4" s="4" t="s">
        <v>104</v>
      </c>
      <c r="U4" s="4" t="s">
        <v>106</v>
      </c>
      <c r="V4" s="4" t="s">
        <v>108</v>
      </c>
      <c r="W4" s="4" t="s">
        <v>110</v>
      </c>
      <c r="X4" s="4" t="s">
        <v>111</v>
      </c>
      <c r="Y4" s="4" t="s">
        <v>113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121</v>
      </c>
      <c r="AF4" s="4" t="s">
        <v>123</v>
      </c>
      <c r="AG4" s="4" t="s">
        <v>125</v>
      </c>
      <c r="AH4" s="4" t="s">
        <v>126</v>
      </c>
      <c r="AI4" s="4" t="s">
        <v>128</v>
      </c>
      <c r="AJ4" s="4" t="s">
        <v>130</v>
      </c>
      <c r="AK4" s="4" t="s">
        <v>131</v>
      </c>
      <c r="AL4" s="4" t="s">
        <v>133</v>
      </c>
      <c r="AM4" s="4" t="s">
        <v>135</v>
      </c>
      <c r="AN4" s="4" t="s">
        <v>136</v>
      </c>
      <c r="AO4" s="5" t="s">
        <v>137</v>
      </c>
      <c r="AP4" s="2" t="s">
        <v>138</v>
      </c>
      <c r="AQ4" s="4" t="s">
        <v>146</v>
      </c>
      <c r="AR4" s="4" t="s">
        <v>147</v>
      </c>
      <c r="AS4" s="4" t="s">
        <v>148</v>
      </c>
      <c r="AT4" s="4" t="s">
        <v>149</v>
      </c>
      <c r="AU4" s="4" t="s">
        <v>150</v>
      </c>
      <c r="AV4" s="5" t="s">
        <v>151</v>
      </c>
      <c r="AW4" s="5" t="s">
        <v>152</v>
      </c>
      <c r="AX4" s="5" t="s">
        <v>153</v>
      </c>
      <c r="AY4" s="5" t="s">
        <v>154</v>
      </c>
      <c r="AZ4" s="5" t="s">
        <v>155</v>
      </c>
      <c r="BA4" s="5" t="s">
        <v>156</v>
      </c>
      <c r="BB4" s="5" t="s">
        <v>157</v>
      </c>
      <c r="BC4" s="5" t="s">
        <v>158</v>
      </c>
      <c r="BD4" s="4" t="s">
        <v>159</v>
      </c>
      <c r="BE4" s="4" t="s">
        <v>160</v>
      </c>
      <c r="BF4" s="4" t="s">
        <v>161</v>
      </c>
      <c r="BG4" s="5" t="s">
        <v>162</v>
      </c>
      <c r="BH4" s="5" t="s">
        <v>163</v>
      </c>
      <c r="BI4" s="5" t="s">
        <v>164</v>
      </c>
      <c r="BJ4" s="4" t="s">
        <v>165</v>
      </c>
      <c r="BK4" s="5" t="s">
        <v>145</v>
      </c>
    </row>
    <row r="5" spans="1:63" ht="48" customHeight="1">
      <c r="A5" s="6"/>
      <c r="B5" s="15"/>
      <c r="C5" s="69" t="s">
        <v>225</v>
      </c>
      <c r="D5" s="7" t="s">
        <v>179</v>
      </c>
      <c r="E5" s="7" t="s">
        <v>180</v>
      </c>
      <c r="F5" s="7" t="s">
        <v>181</v>
      </c>
      <c r="G5" s="7" t="s">
        <v>82</v>
      </c>
      <c r="H5" s="7" t="s">
        <v>84</v>
      </c>
      <c r="I5" s="7" t="s">
        <v>86</v>
      </c>
      <c r="J5" s="7" t="s">
        <v>88</v>
      </c>
      <c r="K5" s="7" t="s">
        <v>182</v>
      </c>
      <c r="L5" s="7" t="s">
        <v>92</v>
      </c>
      <c r="M5" s="7" t="s">
        <v>94</v>
      </c>
      <c r="N5" s="7" t="s">
        <v>96</v>
      </c>
      <c r="O5" s="7" t="s">
        <v>98</v>
      </c>
      <c r="P5" s="7" t="s">
        <v>183</v>
      </c>
      <c r="Q5" s="7" t="s">
        <v>184</v>
      </c>
      <c r="R5" s="7" t="s">
        <v>185</v>
      </c>
      <c r="S5" s="7" t="s">
        <v>186</v>
      </c>
      <c r="T5" s="7" t="s">
        <v>105</v>
      </c>
      <c r="U5" s="7" t="s">
        <v>187</v>
      </c>
      <c r="V5" s="7" t="s">
        <v>109</v>
      </c>
      <c r="W5" s="7" t="s">
        <v>66</v>
      </c>
      <c r="X5" s="7" t="s">
        <v>112</v>
      </c>
      <c r="Y5" s="7" t="s">
        <v>188</v>
      </c>
      <c r="Z5" s="7" t="s">
        <v>0</v>
      </c>
      <c r="AA5" s="7" t="s">
        <v>1</v>
      </c>
      <c r="AB5" s="7" t="s">
        <v>67</v>
      </c>
      <c r="AC5" s="7" t="s">
        <v>68</v>
      </c>
      <c r="AD5" s="7" t="s">
        <v>120</v>
      </c>
      <c r="AE5" s="7" t="s">
        <v>189</v>
      </c>
      <c r="AF5" s="7" t="s">
        <v>190</v>
      </c>
      <c r="AG5" s="7" t="s">
        <v>69</v>
      </c>
      <c r="AH5" s="7" t="s">
        <v>127</v>
      </c>
      <c r="AI5" s="7" t="s">
        <v>191</v>
      </c>
      <c r="AJ5" s="7" t="s">
        <v>192</v>
      </c>
      <c r="AK5" s="7" t="s">
        <v>132</v>
      </c>
      <c r="AL5" s="7" t="s">
        <v>193</v>
      </c>
      <c r="AM5" s="7" t="s">
        <v>194</v>
      </c>
      <c r="AN5" s="7" t="s">
        <v>195</v>
      </c>
      <c r="AO5" s="8" t="s">
        <v>5</v>
      </c>
      <c r="AP5" s="53" t="s">
        <v>6</v>
      </c>
      <c r="AQ5" s="7" t="s">
        <v>70</v>
      </c>
      <c r="AR5" s="7" t="s">
        <v>7</v>
      </c>
      <c r="AS5" s="7" t="s">
        <v>196</v>
      </c>
      <c r="AT5" s="7" t="s">
        <v>197</v>
      </c>
      <c r="AU5" s="7" t="s">
        <v>10</v>
      </c>
      <c r="AV5" s="8" t="s">
        <v>198</v>
      </c>
      <c r="AW5" s="8" t="s">
        <v>199</v>
      </c>
      <c r="AX5" s="8" t="s">
        <v>11</v>
      </c>
      <c r="AY5" s="8" t="s">
        <v>200</v>
      </c>
      <c r="AZ5" s="8" t="s">
        <v>201</v>
      </c>
      <c r="BA5" s="8" t="s">
        <v>202</v>
      </c>
      <c r="BB5" s="8" t="s">
        <v>14</v>
      </c>
      <c r="BC5" s="8" t="s">
        <v>15</v>
      </c>
      <c r="BD5" s="7" t="s">
        <v>16</v>
      </c>
      <c r="BE5" s="7" t="s">
        <v>17</v>
      </c>
      <c r="BF5" s="7" t="s">
        <v>18</v>
      </c>
      <c r="BG5" s="8" t="s">
        <v>19</v>
      </c>
      <c r="BH5" s="8" t="s">
        <v>203</v>
      </c>
      <c r="BI5" s="8" t="s">
        <v>204</v>
      </c>
      <c r="BJ5" s="7" t="s">
        <v>205</v>
      </c>
      <c r="BK5" s="8" t="s">
        <v>206</v>
      </c>
    </row>
    <row r="6" spans="1:63">
      <c r="A6" s="10">
        <v>1</v>
      </c>
      <c r="B6" s="10" t="s">
        <v>75</v>
      </c>
      <c r="C6" s="12" t="s">
        <v>179</v>
      </c>
      <c r="D6" s="29">
        <v>39833</v>
      </c>
      <c r="E6" s="29">
        <v>0</v>
      </c>
      <c r="F6" s="29">
        <v>103265</v>
      </c>
      <c r="G6" s="29">
        <v>154</v>
      </c>
      <c r="H6" s="29">
        <v>3073</v>
      </c>
      <c r="I6" s="29">
        <v>318</v>
      </c>
      <c r="J6" s="29">
        <v>0</v>
      </c>
      <c r="K6" s="29">
        <v>129</v>
      </c>
      <c r="L6" s="29">
        <v>42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982</v>
      </c>
      <c r="X6" s="29">
        <v>1196</v>
      </c>
      <c r="Y6" s="29">
        <v>0</v>
      </c>
      <c r="Z6" s="29">
        <v>0</v>
      </c>
      <c r="AA6" s="29">
        <v>0</v>
      </c>
      <c r="AB6" s="29">
        <v>186</v>
      </c>
      <c r="AC6" s="29">
        <v>0</v>
      </c>
      <c r="AD6" s="29">
        <v>6</v>
      </c>
      <c r="AE6" s="29">
        <v>0</v>
      </c>
      <c r="AF6" s="29">
        <v>0</v>
      </c>
      <c r="AG6" s="29">
        <v>8</v>
      </c>
      <c r="AH6" s="29">
        <v>1107</v>
      </c>
      <c r="AI6" s="29">
        <v>2693</v>
      </c>
      <c r="AJ6" s="29">
        <v>269</v>
      </c>
      <c r="AK6" s="29">
        <v>8</v>
      </c>
      <c r="AL6" s="29">
        <v>10958</v>
      </c>
      <c r="AM6" s="29">
        <v>0</v>
      </c>
      <c r="AN6" s="29">
        <v>0</v>
      </c>
      <c r="AO6" s="22">
        <v>164227</v>
      </c>
      <c r="AP6" s="55">
        <v>988</v>
      </c>
      <c r="AQ6" s="21">
        <v>52417</v>
      </c>
      <c r="AR6" s="21">
        <v>0</v>
      </c>
      <c r="AS6" s="21">
        <v>0</v>
      </c>
      <c r="AT6" s="21">
        <v>3342</v>
      </c>
      <c r="AU6" s="21">
        <v>3736</v>
      </c>
      <c r="AV6" s="28">
        <v>60483</v>
      </c>
      <c r="AW6" s="28">
        <v>224710</v>
      </c>
      <c r="AX6" s="28">
        <v>2244</v>
      </c>
      <c r="AY6" s="28">
        <v>2244</v>
      </c>
      <c r="AZ6" s="28">
        <v>243659</v>
      </c>
      <c r="BA6" s="28">
        <v>245903</v>
      </c>
      <c r="BB6" s="28">
        <v>306386</v>
      </c>
      <c r="BC6" s="28">
        <v>470613</v>
      </c>
      <c r="BD6" s="21">
        <v>-26197</v>
      </c>
      <c r="BE6" s="21">
        <v>-592</v>
      </c>
      <c r="BF6" s="21">
        <v>-2274</v>
      </c>
      <c r="BG6" s="28">
        <v>-29063</v>
      </c>
      <c r="BH6" s="28">
        <v>-88334</v>
      </c>
      <c r="BI6" s="28">
        <v>-117397</v>
      </c>
      <c r="BJ6" s="28">
        <v>188989</v>
      </c>
      <c r="BK6" s="23">
        <v>353216</v>
      </c>
    </row>
    <row r="7" spans="1:63">
      <c r="A7" s="10">
        <v>2</v>
      </c>
      <c r="B7" s="10" t="s">
        <v>77</v>
      </c>
      <c r="C7" s="12" t="s">
        <v>209</v>
      </c>
      <c r="D7" s="29">
        <v>16</v>
      </c>
      <c r="E7" s="29">
        <v>0</v>
      </c>
      <c r="F7" s="29">
        <v>178</v>
      </c>
      <c r="G7" s="29">
        <v>0</v>
      </c>
      <c r="H7" s="29">
        <v>97</v>
      </c>
      <c r="I7" s="29">
        <v>480</v>
      </c>
      <c r="J7" s="29">
        <v>393</v>
      </c>
      <c r="K7" s="29">
        <v>6</v>
      </c>
      <c r="L7" s="29">
        <v>3537</v>
      </c>
      <c r="M7" s="29">
        <v>4</v>
      </c>
      <c r="N7" s="29">
        <v>2396</v>
      </c>
      <c r="O7" s="29">
        <v>24</v>
      </c>
      <c r="P7" s="29">
        <v>20</v>
      </c>
      <c r="Q7" s="29">
        <v>29</v>
      </c>
      <c r="R7" s="29">
        <v>13</v>
      </c>
      <c r="S7" s="29">
        <v>88</v>
      </c>
      <c r="T7" s="29">
        <v>3</v>
      </c>
      <c r="U7" s="29">
        <v>1</v>
      </c>
      <c r="V7" s="29">
        <v>38</v>
      </c>
      <c r="W7" s="29">
        <v>77</v>
      </c>
      <c r="X7" s="29">
        <v>2614</v>
      </c>
      <c r="Y7" s="29">
        <v>12112</v>
      </c>
      <c r="Z7" s="29">
        <v>0</v>
      </c>
      <c r="AA7" s="29">
        <v>0</v>
      </c>
      <c r="AB7" s="29">
        <v>2</v>
      </c>
      <c r="AC7" s="29">
        <v>0</v>
      </c>
      <c r="AD7" s="29">
        <v>0</v>
      </c>
      <c r="AE7" s="29">
        <v>1</v>
      </c>
      <c r="AF7" s="29">
        <v>0</v>
      </c>
      <c r="AG7" s="29">
        <v>2</v>
      </c>
      <c r="AH7" s="29">
        <v>27</v>
      </c>
      <c r="AI7" s="29">
        <v>7</v>
      </c>
      <c r="AJ7" s="29">
        <v>5</v>
      </c>
      <c r="AK7" s="29">
        <v>3</v>
      </c>
      <c r="AL7" s="29">
        <v>3</v>
      </c>
      <c r="AM7" s="29">
        <v>0</v>
      </c>
      <c r="AN7" s="29">
        <v>9</v>
      </c>
      <c r="AO7" s="22">
        <v>22185</v>
      </c>
      <c r="AP7" s="55">
        <v>-69</v>
      </c>
      <c r="AQ7" s="21">
        <v>-74</v>
      </c>
      <c r="AR7" s="21">
        <v>0</v>
      </c>
      <c r="AS7" s="21">
        <v>0</v>
      </c>
      <c r="AT7" s="21">
        <v>-70</v>
      </c>
      <c r="AU7" s="21">
        <v>430</v>
      </c>
      <c r="AV7" s="22">
        <v>217</v>
      </c>
      <c r="AW7" s="22">
        <v>22402</v>
      </c>
      <c r="AX7" s="22">
        <v>50</v>
      </c>
      <c r="AY7" s="22">
        <v>50</v>
      </c>
      <c r="AZ7" s="22">
        <v>123</v>
      </c>
      <c r="BA7" s="22">
        <v>173</v>
      </c>
      <c r="BB7" s="22">
        <v>390</v>
      </c>
      <c r="BC7" s="22">
        <v>22575</v>
      </c>
      <c r="BD7" s="21">
        <v>-15007</v>
      </c>
      <c r="BE7" s="21">
        <v>0</v>
      </c>
      <c r="BF7" s="21">
        <v>-2085</v>
      </c>
      <c r="BG7" s="22">
        <v>-17092</v>
      </c>
      <c r="BH7" s="22">
        <v>-1264</v>
      </c>
      <c r="BI7" s="22">
        <v>-18356</v>
      </c>
      <c r="BJ7" s="22">
        <v>-17966</v>
      </c>
      <c r="BK7" s="23">
        <v>4219</v>
      </c>
    </row>
    <row r="8" spans="1:63">
      <c r="A8" s="10">
        <v>3</v>
      </c>
      <c r="B8" s="10" t="s">
        <v>79</v>
      </c>
      <c r="C8" s="12" t="s">
        <v>210</v>
      </c>
      <c r="D8" s="29">
        <v>14938</v>
      </c>
      <c r="E8" s="29">
        <v>0</v>
      </c>
      <c r="F8" s="29">
        <v>155358</v>
      </c>
      <c r="G8" s="29">
        <v>46</v>
      </c>
      <c r="H8" s="29">
        <v>134</v>
      </c>
      <c r="I8" s="29">
        <v>1618</v>
      </c>
      <c r="J8" s="29">
        <v>0</v>
      </c>
      <c r="K8" s="29">
        <v>4</v>
      </c>
      <c r="L8" s="29">
        <v>54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257</v>
      </c>
      <c r="X8" s="29">
        <v>23</v>
      </c>
      <c r="Y8" s="29">
        <v>0</v>
      </c>
      <c r="Z8" s="29">
        <v>0</v>
      </c>
      <c r="AA8" s="29">
        <v>0</v>
      </c>
      <c r="AB8" s="29">
        <v>166</v>
      </c>
      <c r="AC8" s="29">
        <v>0</v>
      </c>
      <c r="AD8" s="29">
        <v>0</v>
      </c>
      <c r="AE8" s="29">
        <v>0</v>
      </c>
      <c r="AF8" s="29">
        <v>0</v>
      </c>
      <c r="AG8" s="29">
        <v>449</v>
      </c>
      <c r="AH8" s="29">
        <v>4309</v>
      </c>
      <c r="AI8" s="29">
        <v>9579</v>
      </c>
      <c r="AJ8" s="29">
        <v>199</v>
      </c>
      <c r="AK8" s="29">
        <v>3</v>
      </c>
      <c r="AL8" s="29">
        <v>65778</v>
      </c>
      <c r="AM8" s="29">
        <v>0</v>
      </c>
      <c r="AN8" s="29">
        <v>269</v>
      </c>
      <c r="AO8" s="22">
        <v>253184</v>
      </c>
      <c r="AP8" s="55">
        <v>12827</v>
      </c>
      <c r="AQ8" s="21">
        <v>418802</v>
      </c>
      <c r="AR8" s="21">
        <v>0</v>
      </c>
      <c r="AS8" s="21">
        <v>0</v>
      </c>
      <c r="AT8" s="21">
        <v>0</v>
      </c>
      <c r="AU8" s="21">
        <v>-2534</v>
      </c>
      <c r="AV8" s="22">
        <v>429095</v>
      </c>
      <c r="AW8" s="22">
        <v>682279</v>
      </c>
      <c r="AX8" s="22">
        <v>8806</v>
      </c>
      <c r="AY8" s="22">
        <v>8806</v>
      </c>
      <c r="AZ8" s="22">
        <v>543380</v>
      </c>
      <c r="BA8" s="22">
        <v>552186</v>
      </c>
      <c r="BB8" s="22">
        <v>981281</v>
      </c>
      <c r="BC8" s="22">
        <v>1234465</v>
      </c>
      <c r="BD8" s="21">
        <v>-82712</v>
      </c>
      <c r="BE8" s="21">
        <v>-5453</v>
      </c>
      <c r="BF8" s="21">
        <v>-22605</v>
      </c>
      <c r="BG8" s="22">
        <v>-110770</v>
      </c>
      <c r="BH8" s="22">
        <v>-438823</v>
      </c>
      <c r="BI8" s="22">
        <v>-549593</v>
      </c>
      <c r="BJ8" s="22">
        <v>431688</v>
      </c>
      <c r="BK8" s="23">
        <v>684872</v>
      </c>
    </row>
    <row r="9" spans="1:63">
      <c r="A9" s="10">
        <v>4</v>
      </c>
      <c r="B9" s="10" t="s">
        <v>81</v>
      </c>
      <c r="C9" s="12" t="s">
        <v>82</v>
      </c>
      <c r="D9" s="29">
        <v>910</v>
      </c>
      <c r="E9" s="29">
        <v>11</v>
      </c>
      <c r="F9" s="29">
        <v>538</v>
      </c>
      <c r="G9" s="29">
        <v>2958</v>
      </c>
      <c r="H9" s="29">
        <v>259</v>
      </c>
      <c r="I9" s="29">
        <v>214</v>
      </c>
      <c r="J9" s="29">
        <v>4</v>
      </c>
      <c r="K9" s="29">
        <v>313</v>
      </c>
      <c r="L9" s="29">
        <v>398</v>
      </c>
      <c r="M9" s="29">
        <v>29</v>
      </c>
      <c r="N9" s="29">
        <v>209</v>
      </c>
      <c r="O9" s="29">
        <v>323</v>
      </c>
      <c r="P9" s="29">
        <v>384</v>
      </c>
      <c r="Q9" s="29">
        <v>799</v>
      </c>
      <c r="R9" s="29">
        <v>281</v>
      </c>
      <c r="S9" s="29">
        <v>2497</v>
      </c>
      <c r="T9" s="29">
        <v>700</v>
      </c>
      <c r="U9" s="29">
        <v>522</v>
      </c>
      <c r="V9" s="29">
        <v>328</v>
      </c>
      <c r="W9" s="29">
        <v>1229</v>
      </c>
      <c r="X9" s="29">
        <v>3849</v>
      </c>
      <c r="Y9" s="29">
        <v>90</v>
      </c>
      <c r="Z9" s="29">
        <v>79</v>
      </c>
      <c r="AA9" s="29">
        <v>271</v>
      </c>
      <c r="AB9" s="29">
        <v>5074</v>
      </c>
      <c r="AC9" s="29">
        <v>662</v>
      </c>
      <c r="AD9" s="29">
        <v>49</v>
      </c>
      <c r="AE9" s="29">
        <v>662</v>
      </c>
      <c r="AF9" s="29">
        <v>344</v>
      </c>
      <c r="AG9" s="29">
        <v>2831</v>
      </c>
      <c r="AH9" s="29">
        <v>289</v>
      </c>
      <c r="AI9" s="29">
        <v>4555</v>
      </c>
      <c r="AJ9" s="29">
        <v>2876</v>
      </c>
      <c r="AK9" s="29">
        <v>1594</v>
      </c>
      <c r="AL9" s="29">
        <v>2797</v>
      </c>
      <c r="AM9" s="29">
        <v>467</v>
      </c>
      <c r="AN9" s="29">
        <v>15</v>
      </c>
      <c r="AO9" s="22">
        <v>39410</v>
      </c>
      <c r="AP9" s="55">
        <v>1766</v>
      </c>
      <c r="AQ9" s="21">
        <v>54394</v>
      </c>
      <c r="AR9" s="21">
        <v>0</v>
      </c>
      <c r="AS9" s="21">
        <v>14</v>
      </c>
      <c r="AT9" s="21">
        <v>2572</v>
      </c>
      <c r="AU9" s="21">
        <v>-1468</v>
      </c>
      <c r="AV9" s="22">
        <v>57278</v>
      </c>
      <c r="AW9" s="22">
        <v>96688</v>
      </c>
      <c r="AX9" s="22">
        <v>1340</v>
      </c>
      <c r="AY9" s="22">
        <v>1340</v>
      </c>
      <c r="AZ9" s="22">
        <v>9478</v>
      </c>
      <c r="BA9" s="22">
        <v>10818</v>
      </c>
      <c r="BB9" s="22">
        <v>68096</v>
      </c>
      <c r="BC9" s="22">
        <v>107506</v>
      </c>
      <c r="BD9" s="21">
        <v>-57156</v>
      </c>
      <c r="BE9" s="21">
        <v>-2887</v>
      </c>
      <c r="BF9" s="21">
        <v>-5932</v>
      </c>
      <c r="BG9" s="22">
        <v>-65975</v>
      </c>
      <c r="BH9" s="22">
        <v>-27068</v>
      </c>
      <c r="BI9" s="22">
        <v>-93043</v>
      </c>
      <c r="BJ9" s="22">
        <v>-24947</v>
      </c>
      <c r="BK9" s="23">
        <v>14463</v>
      </c>
    </row>
    <row r="10" spans="1:63">
      <c r="A10" s="10">
        <v>5</v>
      </c>
      <c r="B10" s="10" t="s">
        <v>83</v>
      </c>
      <c r="C10" s="12" t="s">
        <v>84</v>
      </c>
      <c r="D10" s="29">
        <v>18245</v>
      </c>
      <c r="E10" s="29">
        <v>2</v>
      </c>
      <c r="F10" s="29">
        <v>12104</v>
      </c>
      <c r="G10" s="29">
        <v>71</v>
      </c>
      <c r="H10" s="29">
        <v>36940</v>
      </c>
      <c r="I10" s="29">
        <v>3458</v>
      </c>
      <c r="J10" s="29">
        <v>6</v>
      </c>
      <c r="K10" s="29">
        <v>1088</v>
      </c>
      <c r="L10" s="29">
        <v>1787</v>
      </c>
      <c r="M10" s="29">
        <v>36</v>
      </c>
      <c r="N10" s="29">
        <v>335</v>
      </c>
      <c r="O10" s="29">
        <v>708</v>
      </c>
      <c r="P10" s="29">
        <v>559</v>
      </c>
      <c r="Q10" s="29">
        <v>653</v>
      </c>
      <c r="R10" s="29">
        <v>906</v>
      </c>
      <c r="S10" s="29">
        <v>3344</v>
      </c>
      <c r="T10" s="29">
        <v>1769</v>
      </c>
      <c r="U10" s="29">
        <v>2801</v>
      </c>
      <c r="V10" s="29">
        <v>457</v>
      </c>
      <c r="W10" s="29">
        <v>9319</v>
      </c>
      <c r="X10" s="29">
        <v>49839</v>
      </c>
      <c r="Y10" s="29">
        <v>268</v>
      </c>
      <c r="Z10" s="29">
        <v>347</v>
      </c>
      <c r="AA10" s="29">
        <v>455</v>
      </c>
      <c r="AB10" s="29">
        <v>8645</v>
      </c>
      <c r="AC10" s="29">
        <v>2246</v>
      </c>
      <c r="AD10" s="29">
        <v>525</v>
      </c>
      <c r="AE10" s="29">
        <v>2241</v>
      </c>
      <c r="AF10" s="29">
        <v>5572</v>
      </c>
      <c r="AG10" s="29">
        <v>797</v>
      </c>
      <c r="AH10" s="29">
        <v>4923</v>
      </c>
      <c r="AI10" s="29">
        <v>8034</v>
      </c>
      <c r="AJ10" s="29">
        <v>2357</v>
      </c>
      <c r="AK10" s="29">
        <v>4056</v>
      </c>
      <c r="AL10" s="29">
        <v>2956</v>
      </c>
      <c r="AM10" s="29">
        <v>10051</v>
      </c>
      <c r="AN10" s="29">
        <v>42</v>
      </c>
      <c r="AO10" s="22">
        <v>197942</v>
      </c>
      <c r="AP10" s="55">
        <v>1370</v>
      </c>
      <c r="AQ10" s="21">
        <v>7212</v>
      </c>
      <c r="AR10" s="21">
        <v>28</v>
      </c>
      <c r="AS10" s="21">
        <v>169</v>
      </c>
      <c r="AT10" s="21">
        <v>4792</v>
      </c>
      <c r="AU10" s="21">
        <v>-2233</v>
      </c>
      <c r="AV10" s="22">
        <v>11338</v>
      </c>
      <c r="AW10" s="22">
        <v>209280</v>
      </c>
      <c r="AX10" s="22">
        <v>744</v>
      </c>
      <c r="AY10" s="22">
        <v>744</v>
      </c>
      <c r="AZ10" s="22">
        <v>63255</v>
      </c>
      <c r="BA10" s="22">
        <v>63999</v>
      </c>
      <c r="BB10" s="22">
        <v>75337</v>
      </c>
      <c r="BC10" s="22">
        <v>273279</v>
      </c>
      <c r="BD10" s="21">
        <v>-27925</v>
      </c>
      <c r="BE10" s="21">
        <v>-321</v>
      </c>
      <c r="BF10" s="21">
        <v>-2821</v>
      </c>
      <c r="BG10" s="22">
        <v>-31067</v>
      </c>
      <c r="BH10" s="22">
        <v>-117854</v>
      </c>
      <c r="BI10" s="22">
        <v>-148921</v>
      </c>
      <c r="BJ10" s="22">
        <v>-73584</v>
      </c>
      <c r="BK10" s="23">
        <v>124358</v>
      </c>
    </row>
    <row r="11" spans="1:63">
      <c r="A11" s="10">
        <v>6</v>
      </c>
      <c r="B11" s="10" t="s">
        <v>85</v>
      </c>
      <c r="C11" s="12" t="s">
        <v>86</v>
      </c>
      <c r="D11" s="29">
        <v>16738</v>
      </c>
      <c r="E11" s="29">
        <v>14</v>
      </c>
      <c r="F11" s="29">
        <v>8481</v>
      </c>
      <c r="G11" s="29">
        <v>1492</v>
      </c>
      <c r="H11" s="29">
        <v>3045</v>
      </c>
      <c r="I11" s="29">
        <v>30996</v>
      </c>
      <c r="J11" s="29">
        <v>298</v>
      </c>
      <c r="K11" s="29">
        <v>32236</v>
      </c>
      <c r="L11" s="29">
        <v>9199</v>
      </c>
      <c r="M11" s="29">
        <v>119</v>
      </c>
      <c r="N11" s="29">
        <v>1136</v>
      </c>
      <c r="O11" s="29">
        <v>2663</v>
      </c>
      <c r="P11" s="29">
        <v>1358</v>
      </c>
      <c r="Q11" s="29">
        <v>2284</v>
      </c>
      <c r="R11" s="29">
        <v>1696</v>
      </c>
      <c r="S11" s="29">
        <v>7150</v>
      </c>
      <c r="T11" s="29">
        <v>2730</v>
      </c>
      <c r="U11" s="29">
        <v>4755</v>
      </c>
      <c r="V11" s="29">
        <v>4392</v>
      </c>
      <c r="W11" s="29">
        <v>5185</v>
      </c>
      <c r="X11" s="29">
        <v>5275</v>
      </c>
      <c r="Y11" s="29">
        <v>169</v>
      </c>
      <c r="Z11" s="29">
        <v>834</v>
      </c>
      <c r="AA11" s="29">
        <v>1546</v>
      </c>
      <c r="AB11" s="29">
        <v>12</v>
      </c>
      <c r="AC11" s="29">
        <v>13</v>
      </c>
      <c r="AD11" s="29">
        <v>45</v>
      </c>
      <c r="AE11" s="29">
        <v>279</v>
      </c>
      <c r="AF11" s="29">
        <v>432</v>
      </c>
      <c r="AG11" s="29">
        <v>556</v>
      </c>
      <c r="AH11" s="29">
        <v>6801</v>
      </c>
      <c r="AI11" s="29">
        <v>175767</v>
      </c>
      <c r="AJ11" s="29">
        <v>291</v>
      </c>
      <c r="AK11" s="29">
        <v>3678</v>
      </c>
      <c r="AL11" s="29">
        <v>5343</v>
      </c>
      <c r="AM11" s="29">
        <v>217</v>
      </c>
      <c r="AN11" s="29">
        <v>252</v>
      </c>
      <c r="AO11" s="22">
        <v>337477</v>
      </c>
      <c r="AP11" s="55">
        <v>2988</v>
      </c>
      <c r="AQ11" s="21">
        <v>39172</v>
      </c>
      <c r="AR11" s="21">
        <v>0</v>
      </c>
      <c r="AS11" s="21">
        <v>0</v>
      </c>
      <c r="AT11" s="21">
        <v>0</v>
      </c>
      <c r="AU11" s="21">
        <v>2632</v>
      </c>
      <c r="AV11" s="22">
        <v>44792</v>
      </c>
      <c r="AW11" s="22">
        <v>382269</v>
      </c>
      <c r="AX11" s="22">
        <v>23789</v>
      </c>
      <c r="AY11" s="22">
        <v>23789</v>
      </c>
      <c r="AZ11" s="22">
        <v>100848</v>
      </c>
      <c r="BA11" s="22">
        <v>124637</v>
      </c>
      <c r="BB11" s="22">
        <v>169429</v>
      </c>
      <c r="BC11" s="22">
        <v>506906</v>
      </c>
      <c r="BD11" s="21">
        <v>-90459</v>
      </c>
      <c r="BE11" s="21">
        <v>-573</v>
      </c>
      <c r="BF11" s="21">
        <v>-9083</v>
      </c>
      <c r="BG11" s="22">
        <v>-100115</v>
      </c>
      <c r="BH11" s="22">
        <v>-273712</v>
      </c>
      <c r="BI11" s="22">
        <v>-373827</v>
      </c>
      <c r="BJ11" s="22">
        <v>-204398</v>
      </c>
      <c r="BK11" s="23">
        <v>133079</v>
      </c>
    </row>
    <row r="12" spans="1:63">
      <c r="A12" s="10">
        <v>7</v>
      </c>
      <c r="B12" s="10" t="s">
        <v>87</v>
      </c>
      <c r="C12" s="12" t="s">
        <v>88</v>
      </c>
      <c r="D12" s="29">
        <v>3862</v>
      </c>
      <c r="E12" s="29">
        <v>91</v>
      </c>
      <c r="F12" s="29">
        <v>2393</v>
      </c>
      <c r="G12" s="29">
        <v>48</v>
      </c>
      <c r="H12" s="29">
        <v>295</v>
      </c>
      <c r="I12" s="29">
        <v>718</v>
      </c>
      <c r="J12" s="29">
        <v>1920</v>
      </c>
      <c r="K12" s="29">
        <v>180</v>
      </c>
      <c r="L12" s="29">
        <v>4161</v>
      </c>
      <c r="M12" s="29">
        <v>374</v>
      </c>
      <c r="N12" s="29">
        <v>626</v>
      </c>
      <c r="O12" s="29">
        <v>1258</v>
      </c>
      <c r="P12" s="29">
        <v>357</v>
      </c>
      <c r="Q12" s="29">
        <v>544</v>
      </c>
      <c r="R12" s="29">
        <v>180</v>
      </c>
      <c r="S12" s="29">
        <v>827</v>
      </c>
      <c r="T12" s="29">
        <v>192</v>
      </c>
      <c r="U12" s="29">
        <v>116</v>
      </c>
      <c r="V12" s="29">
        <v>1156</v>
      </c>
      <c r="W12" s="29">
        <v>366</v>
      </c>
      <c r="X12" s="29">
        <v>14667</v>
      </c>
      <c r="Y12" s="29">
        <v>1340</v>
      </c>
      <c r="Z12" s="29">
        <v>1158</v>
      </c>
      <c r="AA12" s="29">
        <v>1227</v>
      </c>
      <c r="AB12" s="29">
        <v>1709</v>
      </c>
      <c r="AC12" s="29">
        <v>272</v>
      </c>
      <c r="AD12" s="29">
        <v>410</v>
      </c>
      <c r="AE12" s="29">
        <v>81841</v>
      </c>
      <c r="AF12" s="29">
        <v>399</v>
      </c>
      <c r="AG12" s="29">
        <v>4549</v>
      </c>
      <c r="AH12" s="29">
        <v>2089</v>
      </c>
      <c r="AI12" s="29">
        <v>3052</v>
      </c>
      <c r="AJ12" s="29">
        <v>424</v>
      </c>
      <c r="AK12" s="29">
        <v>1758</v>
      </c>
      <c r="AL12" s="29">
        <v>2738</v>
      </c>
      <c r="AM12" s="29">
        <v>0</v>
      </c>
      <c r="AN12" s="29">
        <v>660</v>
      </c>
      <c r="AO12" s="22">
        <v>137957</v>
      </c>
      <c r="AP12" s="55">
        <v>229</v>
      </c>
      <c r="AQ12" s="21">
        <v>103489</v>
      </c>
      <c r="AR12" s="21">
        <v>0</v>
      </c>
      <c r="AS12" s="21">
        <v>0</v>
      </c>
      <c r="AT12" s="21">
        <v>0</v>
      </c>
      <c r="AU12" s="21">
        <v>329</v>
      </c>
      <c r="AV12" s="22">
        <v>104047</v>
      </c>
      <c r="AW12" s="22">
        <v>242004</v>
      </c>
      <c r="AX12" s="22">
        <v>12</v>
      </c>
      <c r="AY12" s="22">
        <v>12</v>
      </c>
      <c r="AZ12" s="22">
        <v>42</v>
      </c>
      <c r="BA12" s="22">
        <v>54</v>
      </c>
      <c r="BB12" s="22">
        <v>104101</v>
      </c>
      <c r="BC12" s="22">
        <v>242058</v>
      </c>
      <c r="BD12" s="21">
        <v>-20008</v>
      </c>
      <c r="BE12" s="21">
        <v>-114</v>
      </c>
      <c r="BF12" s="21">
        <v>-4000</v>
      </c>
      <c r="BG12" s="22">
        <v>-24122</v>
      </c>
      <c r="BH12" s="22">
        <v>-209819</v>
      </c>
      <c r="BI12" s="22">
        <v>-233941</v>
      </c>
      <c r="BJ12" s="22">
        <v>-129840</v>
      </c>
      <c r="BK12" s="23">
        <v>8117</v>
      </c>
    </row>
    <row r="13" spans="1:63">
      <c r="A13" s="10">
        <v>8</v>
      </c>
      <c r="B13" s="10" t="s">
        <v>89</v>
      </c>
      <c r="C13" s="12" t="s">
        <v>211</v>
      </c>
      <c r="D13" s="29">
        <v>5363</v>
      </c>
      <c r="E13" s="29">
        <v>15</v>
      </c>
      <c r="F13" s="29">
        <v>20869</v>
      </c>
      <c r="G13" s="29">
        <v>157</v>
      </c>
      <c r="H13" s="29">
        <v>1955</v>
      </c>
      <c r="I13" s="29">
        <v>6957</v>
      </c>
      <c r="J13" s="29">
        <v>6</v>
      </c>
      <c r="K13" s="29">
        <v>42965</v>
      </c>
      <c r="L13" s="29">
        <v>468</v>
      </c>
      <c r="M13" s="29">
        <v>14</v>
      </c>
      <c r="N13" s="29">
        <v>748</v>
      </c>
      <c r="O13" s="29">
        <v>839</v>
      </c>
      <c r="P13" s="29">
        <v>3648</v>
      </c>
      <c r="Q13" s="29">
        <v>11607</v>
      </c>
      <c r="R13" s="29">
        <v>8742</v>
      </c>
      <c r="S13" s="29">
        <v>8481</v>
      </c>
      <c r="T13" s="29">
        <v>7132</v>
      </c>
      <c r="U13" s="29">
        <v>20453</v>
      </c>
      <c r="V13" s="29">
        <v>16764</v>
      </c>
      <c r="W13" s="29">
        <v>8051</v>
      </c>
      <c r="X13" s="29">
        <v>16172</v>
      </c>
      <c r="Y13" s="29">
        <v>0</v>
      </c>
      <c r="Z13" s="29">
        <v>3734</v>
      </c>
      <c r="AA13" s="29">
        <v>2045</v>
      </c>
      <c r="AB13" s="29">
        <v>6937</v>
      </c>
      <c r="AC13" s="29">
        <v>1235</v>
      </c>
      <c r="AD13" s="29">
        <v>762</v>
      </c>
      <c r="AE13" s="29">
        <v>2904</v>
      </c>
      <c r="AF13" s="29">
        <v>1267</v>
      </c>
      <c r="AG13" s="29">
        <v>1029</v>
      </c>
      <c r="AH13" s="29">
        <v>2925</v>
      </c>
      <c r="AI13" s="29">
        <v>2711</v>
      </c>
      <c r="AJ13" s="29">
        <v>977</v>
      </c>
      <c r="AK13" s="29">
        <v>10655</v>
      </c>
      <c r="AL13" s="29">
        <v>1584</v>
      </c>
      <c r="AM13" s="29">
        <v>1072</v>
      </c>
      <c r="AN13" s="29">
        <v>143</v>
      </c>
      <c r="AO13" s="22">
        <v>221386</v>
      </c>
      <c r="AP13" s="55">
        <v>359</v>
      </c>
      <c r="AQ13" s="21">
        <v>12198</v>
      </c>
      <c r="AR13" s="21">
        <v>48</v>
      </c>
      <c r="AS13" s="21">
        <v>0</v>
      </c>
      <c r="AT13" s="21">
        <v>-8</v>
      </c>
      <c r="AU13" s="21">
        <v>-1475</v>
      </c>
      <c r="AV13" s="22">
        <v>11122</v>
      </c>
      <c r="AW13" s="22">
        <v>232508</v>
      </c>
      <c r="AX13" s="22">
        <v>30787</v>
      </c>
      <c r="AY13" s="22">
        <v>30787</v>
      </c>
      <c r="AZ13" s="22">
        <v>141785</v>
      </c>
      <c r="BA13" s="22">
        <v>172572</v>
      </c>
      <c r="BB13" s="22">
        <v>183694</v>
      </c>
      <c r="BC13" s="22">
        <v>405080</v>
      </c>
      <c r="BD13" s="21">
        <v>-26745</v>
      </c>
      <c r="BE13" s="21">
        <v>-678</v>
      </c>
      <c r="BF13" s="21">
        <v>-2742</v>
      </c>
      <c r="BG13" s="22">
        <v>-30165</v>
      </c>
      <c r="BH13" s="22">
        <v>-178286</v>
      </c>
      <c r="BI13" s="22">
        <v>-208451</v>
      </c>
      <c r="BJ13" s="22">
        <v>-24757</v>
      </c>
      <c r="BK13" s="23">
        <v>196629</v>
      </c>
    </row>
    <row r="14" spans="1:63">
      <c r="A14" s="10">
        <v>9</v>
      </c>
      <c r="B14" s="10" t="s">
        <v>91</v>
      </c>
      <c r="C14" s="12" t="s">
        <v>92</v>
      </c>
      <c r="D14" s="29">
        <v>1144</v>
      </c>
      <c r="E14" s="29">
        <v>0</v>
      </c>
      <c r="F14" s="29">
        <v>1615</v>
      </c>
      <c r="G14" s="29">
        <v>7</v>
      </c>
      <c r="H14" s="29">
        <v>174</v>
      </c>
      <c r="I14" s="29">
        <v>1733</v>
      </c>
      <c r="J14" s="29">
        <v>209</v>
      </c>
      <c r="K14" s="29">
        <v>598</v>
      </c>
      <c r="L14" s="29">
        <v>12289</v>
      </c>
      <c r="M14" s="29">
        <v>185</v>
      </c>
      <c r="N14" s="29">
        <v>2122</v>
      </c>
      <c r="O14" s="29">
        <v>1574</v>
      </c>
      <c r="P14" s="29">
        <v>2494</v>
      </c>
      <c r="Q14" s="29">
        <v>2509</v>
      </c>
      <c r="R14" s="29">
        <v>9474</v>
      </c>
      <c r="S14" s="29">
        <v>30339</v>
      </c>
      <c r="T14" s="29">
        <v>2062</v>
      </c>
      <c r="U14" s="29">
        <v>1102</v>
      </c>
      <c r="V14" s="29">
        <v>905</v>
      </c>
      <c r="W14" s="29">
        <v>977</v>
      </c>
      <c r="X14" s="29">
        <v>59962</v>
      </c>
      <c r="Y14" s="29">
        <v>30</v>
      </c>
      <c r="Z14" s="29">
        <v>501</v>
      </c>
      <c r="AA14" s="29">
        <v>50</v>
      </c>
      <c r="AB14" s="29">
        <v>244</v>
      </c>
      <c r="AC14" s="29">
        <v>6</v>
      </c>
      <c r="AD14" s="29">
        <v>93</v>
      </c>
      <c r="AE14" s="29">
        <v>15</v>
      </c>
      <c r="AF14" s="29">
        <v>4</v>
      </c>
      <c r="AG14" s="29">
        <v>141</v>
      </c>
      <c r="AH14" s="29">
        <v>1218</v>
      </c>
      <c r="AI14" s="29">
        <v>1002</v>
      </c>
      <c r="AJ14" s="29">
        <v>59</v>
      </c>
      <c r="AK14" s="29">
        <v>1116</v>
      </c>
      <c r="AL14" s="29">
        <v>670</v>
      </c>
      <c r="AM14" s="29">
        <v>125</v>
      </c>
      <c r="AN14" s="29">
        <v>192</v>
      </c>
      <c r="AO14" s="22">
        <v>136940</v>
      </c>
      <c r="AP14" s="55">
        <v>144</v>
      </c>
      <c r="AQ14" s="21">
        <v>1250</v>
      </c>
      <c r="AR14" s="21">
        <v>0</v>
      </c>
      <c r="AS14" s="21">
        <v>0</v>
      </c>
      <c r="AT14" s="21">
        <v>0</v>
      </c>
      <c r="AU14" s="21">
        <v>-6661</v>
      </c>
      <c r="AV14" s="22">
        <v>-5267</v>
      </c>
      <c r="AW14" s="22">
        <v>131673</v>
      </c>
      <c r="AX14" s="22">
        <v>30764</v>
      </c>
      <c r="AY14" s="22">
        <v>30764</v>
      </c>
      <c r="AZ14" s="22">
        <v>61832</v>
      </c>
      <c r="BA14" s="22">
        <v>92596</v>
      </c>
      <c r="BB14" s="22">
        <v>87329</v>
      </c>
      <c r="BC14" s="22">
        <v>224269</v>
      </c>
      <c r="BD14" s="21">
        <v>-12229</v>
      </c>
      <c r="BE14" s="21">
        <v>-38</v>
      </c>
      <c r="BF14" s="21">
        <v>-1226</v>
      </c>
      <c r="BG14" s="22">
        <v>-13493</v>
      </c>
      <c r="BH14" s="22">
        <v>-73514</v>
      </c>
      <c r="BI14" s="22">
        <v>-87007</v>
      </c>
      <c r="BJ14" s="22">
        <v>322</v>
      </c>
      <c r="BK14" s="23">
        <v>137262</v>
      </c>
    </row>
    <row r="15" spans="1:63">
      <c r="A15" s="10">
        <v>10</v>
      </c>
      <c r="B15" s="10" t="s">
        <v>93</v>
      </c>
      <c r="C15" s="12" t="s">
        <v>94</v>
      </c>
      <c r="D15" s="29">
        <v>14</v>
      </c>
      <c r="E15" s="29">
        <v>9</v>
      </c>
      <c r="F15" s="29">
        <v>0</v>
      </c>
      <c r="G15" s="29">
        <v>3</v>
      </c>
      <c r="H15" s="29">
        <v>1507</v>
      </c>
      <c r="I15" s="29">
        <v>0</v>
      </c>
      <c r="J15" s="29">
        <v>0</v>
      </c>
      <c r="K15" s="29">
        <v>320</v>
      </c>
      <c r="L15" s="29">
        <v>535</v>
      </c>
      <c r="M15" s="29">
        <v>11774</v>
      </c>
      <c r="N15" s="29">
        <v>144</v>
      </c>
      <c r="O15" s="29">
        <v>55511</v>
      </c>
      <c r="P15" s="29">
        <v>26986</v>
      </c>
      <c r="Q15" s="29">
        <v>50384</v>
      </c>
      <c r="R15" s="29">
        <v>3343</v>
      </c>
      <c r="S15" s="29">
        <v>4437</v>
      </c>
      <c r="T15" s="29">
        <v>11226</v>
      </c>
      <c r="U15" s="29">
        <v>4129</v>
      </c>
      <c r="V15" s="29">
        <v>18692</v>
      </c>
      <c r="W15" s="29">
        <v>1070</v>
      </c>
      <c r="X15" s="29">
        <v>21826</v>
      </c>
      <c r="Y15" s="29">
        <v>0</v>
      </c>
      <c r="Z15" s="29">
        <v>3</v>
      </c>
      <c r="AA15" s="29">
        <v>0</v>
      </c>
      <c r="AB15" s="29">
        <v>0</v>
      </c>
      <c r="AC15" s="29">
        <v>0</v>
      </c>
      <c r="AD15" s="29">
        <v>0</v>
      </c>
      <c r="AE15" s="29">
        <v>83</v>
      </c>
      <c r="AF15" s="29">
        <v>0</v>
      </c>
      <c r="AG15" s="29">
        <v>12</v>
      </c>
      <c r="AH15" s="29">
        <v>0</v>
      </c>
      <c r="AI15" s="29">
        <v>4</v>
      </c>
      <c r="AJ15" s="29">
        <v>1</v>
      </c>
      <c r="AK15" s="29">
        <v>165</v>
      </c>
      <c r="AL15" s="29">
        <v>20</v>
      </c>
      <c r="AM15" s="29">
        <v>1</v>
      </c>
      <c r="AN15" s="29">
        <v>174</v>
      </c>
      <c r="AO15" s="22">
        <v>212373</v>
      </c>
      <c r="AP15" s="55">
        <v>0</v>
      </c>
      <c r="AQ15" s="21">
        <v>-480</v>
      </c>
      <c r="AR15" s="21">
        <v>0</v>
      </c>
      <c r="AS15" s="21">
        <v>-475</v>
      </c>
      <c r="AT15" s="21">
        <v>-2279</v>
      </c>
      <c r="AU15" s="21">
        <v>-1673</v>
      </c>
      <c r="AV15" s="22">
        <v>-4907</v>
      </c>
      <c r="AW15" s="22">
        <v>207466</v>
      </c>
      <c r="AX15" s="22">
        <v>5809</v>
      </c>
      <c r="AY15" s="22">
        <v>5809</v>
      </c>
      <c r="AZ15" s="22">
        <v>15481</v>
      </c>
      <c r="BA15" s="22">
        <v>21290</v>
      </c>
      <c r="BB15" s="22">
        <v>16383</v>
      </c>
      <c r="BC15" s="22">
        <v>228756</v>
      </c>
      <c r="BD15" s="21">
        <v>-10213</v>
      </c>
      <c r="BE15" s="21">
        <v>0</v>
      </c>
      <c r="BF15" s="21">
        <v>-1021</v>
      </c>
      <c r="BG15" s="22">
        <v>-11234</v>
      </c>
      <c r="BH15" s="22">
        <v>-184564</v>
      </c>
      <c r="BI15" s="22">
        <v>-195798</v>
      </c>
      <c r="BJ15" s="22">
        <v>-179415</v>
      </c>
      <c r="BK15" s="23">
        <v>32958</v>
      </c>
    </row>
    <row r="16" spans="1:63">
      <c r="A16" s="10">
        <v>11</v>
      </c>
      <c r="B16" s="10" t="s">
        <v>95</v>
      </c>
      <c r="C16" s="12" t="s">
        <v>96</v>
      </c>
      <c r="D16" s="29">
        <v>0</v>
      </c>
      <c r="E16" s="29">
        <v>0</v>
      </c>
      <c r="F16" s="29">
        <v>1007</v>
      </c>
      <c r="G16" s="29">
        <v>0</v>
      </c>
      <c r="H16" s="29">
        <v>369</v>
      </c>
      <c r="I16" s="29">
        <v>582</v>
      </c>
      <c r="J16" s="29">
        <v>0</v>
      </c>
      <c r="K16" s="29">
        <v>508</v>
      </c>
      <c r="L16" s="29">
        <v>1751</v>
      </c>
      <c r="M16" s="29">
        <v>40</v>
      </c>
      <c r="N16" s="29">
        <v>52018</v>
      </c>
      <c r="O16" s="29">
        <v>10478</v>
      </c>
      <c r="P16" s="29">
        <v>9150</v>
      </c>
      <c r="Q16" s="29">
        <v>11972</v>
      </c>
      <c r="R16" s="29">
        <v>8203</v>
      </c>
      <c r="S16" s="29">
        <v>36367</v>
      </c>
      <c r="T16" s="29">
        <v>15530</v>
      </c>
      <c r="U16" s="29">
        <v>19947</v>
      </c>
      <c r="V16" s="29">
        <v>13606</v>
      </c>
      <c r="W16" s="29">
        <v>2802</v>
      </c>
      <c r="X16" s="29">
        <v>9718</v>
      </c>
      <c r="Y16" s="29">
        <v>263</v>
      </c>
      <c r="Z16" s="29">
        <v>20</v>
      </c>
      <c r="AA16" s="29">
        <v>0</v>
      </c>
      <c r="AB16" s="29">
        <v>15</v>
      </c>
      <c r="AC16" s="29">
        <v>0</v>
      </c>
      <c r="AD16" s="29">
        <v>0</v>
      </c>
      <c r="AE16" s="29">
        <v>1</v>
      </c>
      <c r="AF16" s="29">
        <v>49</v>
      </c>
      <c r="AG16" s="29">
        <v>83</v>
      </c>
      <c r="AH16" s="29">
        <v>66</v>
      </c>
      <c r="AI16" s="29">
        <v>1821</v>
      </c>
      <c r="AJ16" s="29">
        <v>27</v>
      </c>
      <c r="AK16" s="29">
        <v>325</v>
      </c>
      <c r="AL16" s="29">
        <v>248</v>
      </c>
      <c r="AM16" s="29">
        <v>22</v>
      </c>
      <c r="AN16" s="29">
        <v>152</v>
      </c>
      <c r="AO16" s="22">
        <v>197140</v>
      </c>
      <c r="AP16" s="55">
        <v>20</v>
      </c>
      <c r="AQ16" s="21">
        <v>2731</v>
      </c>
      <c r="AR16" s="21">
        <v>0</v>
      </c>
      <c r="AS16" s="21">
        <v>0</v>
      </c>
      <c r="AT16" s="21">
        <v>-2219</v>
      </c>
      <c r="AU16" s="21">
        <v>-1363</v>
      </c>
      <c r="AV16" s="22">
        <v>-831</v>
      </c>
      <c r="AW16" s="22">
        <v>196309</v>
      </c>
      <c r="AX16" s="22">
        <v>16907</v>
      </c>
      <c r="AY16" s="22">
        <v>16907</v>
      </c>
      <c r="AZ16" s="22">
        <v>69942</v>
      </c>
      <c r="BA16" s="22">
        <v>86849</v>
      </c>
      <c r="BB16" s="22">
        <v>86018</v>
      </c>
      <c r="BC16" s="22">
        <v>283158</v>
      </c>
      <c r="BD16" s="21">
        <v>-65390</v>
      </c>
      <c r="BE16" s="21">
        <v>-172</v>
      </c>
      <c r="BF16" s="21">
        <v>-6556</v>
      </c>
      <c r="BG16" s="22">
        <v>-72118</v>
      </c>
      <c r="BH16" s="22">
        <v>-112770</v>
      </c>
      <c r="BI16" s="22">
        <v>-184888</v>
      </c>
      <c r="BJ16" s="22">
        <v>-98870</v>
      </c>
      <c r="BK16" s="23">
        <v>98270</v>
      </c>
    </row>
    <row r="17" spans="1:63">
      <c r="A17" s="10">
        <v>12</v>
      </c>
      <c r="B17" s="10" t="s">
        <v>97</v>
      </c>
      <c r="C17" s="12" t="s">
        <v>98</v>
      </c>
      <c r="D17" s="29">
        <v>823</v>
      </c>
      <c r="E17" s="29">
        <v>38</v>
      </c>
      <c r="F17" s="29">
        <v>9275</v>
      </c>
      <c r="G17" s="29">
        <v>20</v>
      </c>
      <c r="H17" s="29">
        <v>1753</v>
      </c>
      <c r="I17" s="29">
        <v>2338</v>
      </c>
      <c r="J17" s="29">
        <v>1</v>
      </c>
      <c r="K17" s="29">
        <v>695</v>
      </c>
      <c r="L17" s="29">
        <v>1155</v>
      </c>
      <c r="M17" s="29">
        <v>230</v>
      </c>
      <c r="N17" s="29">
        <v>457</v>
      </c>
      <c r="O17" s="29">
        <v>17633</v>
      </c>
      <c r="P17" s="29">
        <v>10620</v>
      </c>
      <c r="Q17" s="29">
        <v>18972</v>
      </c>
      <c r="R17" s="29">
        <v>7769</v>
      </c>
      <c r="S17" s="29">
        <v>16367</v>
      </c>
      <c r="T17" s="29">
        <v>7718</v>
      </c>
      <c r="U17" s="29">
        <v>13929</v>
      </c>
      <c r="V17" s="29">
        <v>4313</v>
      </c>
      <c r="W17" s="29">
        <v>2112</v>
      </c>
      <c r="X17" s="29">
        <v>91876</v>
      </c>
      <c r="Y17" s="29">
        <v>218</v>
      </c>
      <c r="Z17" s="29">
        <v>70</v>
      </c>
      <c r="AA17" s="29">
        <v>15</v>
      </c>
      <c r="AB17" s="29">
        <v>3063</v>
      </c>
      <c r="AC17" s="29">
        <v>56</v>
      </c>
      <c r="AD17" s="29">
        <v>384</v>
      </c>
      <c r="AE17" s="29">
        <v>602</v>
      </c>
      <c r="AF17" s="29">
        <v>235</v>
      </c>
      <c r="AG17" s="29">
        <v>1769</v>
      </c>
      <c r="AH17" s="29">
        <v>144</v>
      </c>
      <c r="AI17" s="29">
        <v>452</v>
      </c>
      <c r="AJ17" s="29">
        <v>292</v>
      </c>
      <c r="AK17" s="29">
        <v>1035</v>
      </c>
      <c r="AL17" s="29">
        <v>1496</v>
      </c>
      <c r="AM17" s="29">
        <v>9</v>
      </c>
      <c r="AN17" s="29">
        <v>210</v>
      </c>
      <c r="AO17" s="22">
        <v>218144</v>
      </c>
      <c r="AP17" s="55">
        <v>463</v>
      </c>
      <c r="AQ17" s="21">
        <v>4747</v>
      </c>
      <c r="AR17" s="21">
        <v>6</v>
      </c>
      <c r="AS17" s="21">
        <v>488</v>
      </c>
      <c r="AT17" s="21">
        <v>7201</v>
      </c>
      <c r="AU17" s="21">
        <v>-4016</v>
      </c>
      <c r="AV17" s="22">
        <v>8889</v>
      </c>
      <c r="AW17" s="22">
        <v>227033</v>
      </c>
      <c r="AX17" s="22">
        <v>9711</v>
      </c>
      <c r="AY17" s="22">
        <v>9711</v>
      </c>
      <c r="AZ17" s="22">
        <v>191521</v>
      </c>
      <c r="BA17" s="22">
        <v>201232</v>
      </c>
      <c r="BB17" s="22">
        <v>210121</v>
      </c>
      <c r="BC17" s="22">
        <v>428265</v>
      </c>
      <c r="BD17" s="21">
        <v>-19488</v>
      </c>
      <c r="BE17" s="21">
        <v>-147</v>
      </c>
      <c r="BF17" s="21">
        <v>-1963</v>
      </c>
      <c r="BG17" s="22">
        <v>-21598</v>
      </c>
      <c r="BH17" s="22">
        <v>-140872</v>
      </c>
      <c r="BI17" s="22">
        <v>-162470</v>
      </c>
      <c r="BJ17" s="22">
        <v>47651</v>
      </c>
      <c r="BK17" s="23">
        <v>265795</v>
      </c>
    </row>
    <row r="18" spans="1:63">
      <c r="A18" s="10">
        <v>13</v>
      </c>
      <c r="B18" s="10" t="s">
        <v>99</v>
      </c>
      <c r="C18" s="12" t="s">
        <v>212</v>
      </c>
      <c r="D18" s="29">
        <v>0</v>
      </c>
      <c r="E18" s="29">
        <v>19</v>
      </c>
      <c r="F18" s="29">
        <v>0</v>
      </c>
      <c r="G18" s="29">
        <v>0</v>
      </c>
      <c r="H18" s="29">
        <v>15</v>
      </c>
      <c r="I18" s="29">
        <v>2</v>
      </c>
      <c r="J18" s="29">
        <v>0</v>
      </c>
      <c r="K18" s="29">
        <v>81</v>
      </c>
      <c r="L18" s="29">
        <v>213</v>
      </c>
      <c r="M18" s="29">
        <v>30</v>
      </c>
      <c r="N18" s="29">
        <v>0</v>
      </c>
      <c r="O18" s="29">
        <v>265</v>
      </c>
      <c r="P18" s="29">
        <v>43052</v>
      </c>
      <c r="Q18" s="29">
        <v>23435</v>
      </c>
      <c r="R18" s="29">
        <v>2543</v>
      </c>
      <c r="S18" s="29">
        <v>1237</v>
      </c>
      <c r="T18" s="29">
        <v>3180</v>
      </c>
      <c r="U18" s="29">
        <v>563</v>
      </c>
      <c r="V18" s="29">
        <v>3830</v>
      </c>
      <c r="W18" s="29">
        <v>657</v>
      </c>
      <c r="X18" s="29">
        <v>7439</v>
      </c>
      <c r="Y18" s="29">
        <v>0</v>
      </c>
      <c r="Z18" s="29">
        <v>1113</v>
      </c>
      <c r="AA18" s="29">
        <v>0</v>
      </c>
      <c r="AB18" s="29">
        <v>5</v>
      </c>
      <c r="AC18" s="29">
        <v>0</v>
      </c>
      <c r="AD18" s="29">
        <v>0</v>
      </c>
      <c r="AE18" s="29">
        <v>59</v>
      </c>
      <c r="AF18" s="29">
        <v>1</v>
      </c>
      <c r="AG18" s="29">
        <v>125</v>
      </c>
      <c r="AH18" s="29">
        <v>0</v>
      </c>
      <c r="AI18" s="29">
        <v>0</v>
      </c>
      <c r="AJ18" s="29">
        <v>0</v>
      </c>
      <c r="AK18" s="29">
        <v>6159</v>
      </c>
      <c r="AL18" s="29">
        <v>9</v>
      </c>
      <c r="AM18" s="29">
        <v>0</v>
      </c>
      <c r="AN18" s="29">
        <v>0</v>
      </c>
      <c r="AO18" s="22">
        <v>94032</v>
      </c>
      <c r="AP18" s="55">
        <v>0</v>
      </c>
      <c r="AQ18" s="21">
        <v>200</v>
      </c>
      <c r="AR18" s="21">
        <v>0</v>
      </c>
      <c r="AS18" s="21">
        <v>5694</v>
      </c>
      <c r="AT18" s="21">
        <v>82835</v>
      </c>
      <c r="AU18" s="21">
        <v>-5380</v>
      </c>
      <c r="AV18" s="22">
        <v>83349</v>
      </c>
      <c r="AW18" s="22">
        <v>177381</v>
      </c>
      <c r="AX18" s="22">
        <v>71278</v>
      </c>
      <c r="AY18" s="22">
        <v>71278</v>
      </c>
      <c r="AZ18" s="22">
        <v>201288</v>
      </c>
      <c r="BA18" s="22">
        <v>272566</v>
      </c>
      <c r="BB18" s="22">
        <v>355915</v>
      </c>
      <c r="BC18" s="22">
        <v>449947</v>
      </c>
      <c r="BD18" s="21">
        <v>-28651</v>
      </c>
      <c r="BE18" s="21">
        <v>0</v>
      </c>
      <c r="BF18" s="21">
        <v>-2866</v>
      </c>
      <c r="BG18" s="22">
        <v>-31517</v>
      </c>
      <c r="BH18" s="22">
        <v>-125759</v>
      </c>
      <c r="BI18" s="22">
        <v>-157276</v>
      </c>
      <c r="BJ18" s="22">
        <v>198639</v>
      </c>
      <c r="BK18" s="23">
        <v>292671</v>
      </c>
    </row>
    <row r="19" spans="1:63">
      <c r="A19" s="10">
        <v>14</v>
      </c>
      <c r="B19" s="10" t="s">
        <v>100</v>
      </c>
      <c r="C19" s="12" t="s">
        <v>213</v>
      </c>
      <c r="D19" s="29">
        <v>2</v>
      </c>
      <c r="E19" s="29">
        <v>3</v>
      </c>
      <c r="F19" s="29">
        <v>0</v>
      </c>
      <c r="G19" s="29">
        <v>0</v>
      </c>
      <c r="H19" s="29">
        <v>13</v>
      </c>
      <c r="I19" s="29">
        <v>0</v>
      </c>
      <c r="J19" s="29">
        <v>1</v>
      </c>
      <c r="K19" s="29">
        <v>631</v>
      </c>
      <c r="L19" s="29">
        <v>210</v>
      </c>
      <c r="M19" s="29">
        <v>38</v>
      </c>
      <c r="N19" s="29">
        <v>27</v>
      </c>
      <c r="O19" s="29">
        <v>143</v>
      </c>
      <c r="P19" s="29">
        <v>1365</v>
      </c>
      <c r="Q19" s="29">
        <v>87854</v>
      </c>
      <c r="R19" s="29">
        <v>283</v>
      </c>
      <c r="S19" s="29">
        <v>1462</v>
      </c>
      <c r="T19" s="29">
        <v>737</v>
      </c>
      <c r="U19" s="29">
        <v>265</v>
      </c>
      <c r="V19" s="29">
        <v>331</v>
      </c>
      <c r="W19" s="29">
        <v>114</v>
      </c>
      <c r="X19" s="29">
        <v>63</v>
      </c>
      <c r="Y19" s="29">
        <v>1</v>
      </c>
      <c r="Z19" s="29">
        <v>31</v>
      </c>
      <c r="AA19" s="29">
        <v>0</v>
      </c>
      <c r="AB19" s="29">
        <v>4</v>
      </c>
      <c r="AC19" s="29">
        <v>0</v>
      </c>
      <c r="AD19" s="29">
        <v>0</v>
      </c>
      <c r="AE19" s="29">
        <v>23</v>
      </c>
      <c r="AF19" s="29">
        <v>1</v>
      </c>
      <c r="AG19" s="29">
        <v>9</v>
      </c>
      <c r="AH19" s="29">
        <v>0</v>
      </c>
      <c r="AI19" s="29">
        <v>0</v>
      </c>
      <c r="AJ19" s="29">
        <v>0</v>
      </c>
      <c r="AK19" s="29">
        <v>9577</v>
      </c>
      <c r="AL19" s="29">
        <v>5</v>
      </c>
      <c r="AM19" s="29">
        <v>0</v>
      </c>
      <c r="AN19" s="29">
        <v>0</v>
      </c>
      <c r="AO19" s="22">
        <v>103193</v>
      </c>
      <c r="AP19" s="55">
        <v>0</v>
      </c>
      <c r="AQ19" s="21">
        <v>129</v>
      </c>
      <c r="AR19" s="21">
        <v>0</v>
      </c>
      <c r="AS19" s="21">
        <v>1024</v>
      </c>
      <c r="AT19" s="21">
        <v>161547</v>
      </c>
      <c r="AU19" s="21">
        <v>-7919</v>
      </c>
      <c r="AV19" s="22">
        <v>154781</v>
      </c>
      <c r="AW19" s="22">
        <v>257974</v>
      </c>
      <c r="AX19" s="22">
        <v>272603</v>
      </c>
      <c r="AY19" s="22">
        <v>272603</v>
      </c>
      <c r="AZ19" s="22">
        <v>275506</v>
      </c>
      <c r="BA19" s="22">
        <v>548109</v>
      </c>
      <c r="BB19" s="22">
        <v>702890</v>
      </c>
      <c r="BC19" s="22">
        <v>806083</v>
      </c>
      <c r="BD19" s="21">
        <v>-35241</v>
      </c>
      <c r="BE19" s="21">
        <v>0</v>
      </c>
      <c r="BF19" s="21">
        <v>-3525</v>
      </c>
      <c r="BG19" s="22">
        <v>-38766</v>
      </c>
      <c r="BH19" s="22">
        <v>-166712</v>
      </c>
      <c r="BI19" s="22">
        <v>-205478</v>
      </c>
      <c r="BJ19" s="22">
        <v>497412</v>
      </c>
      <c r="BK19" s="23">
        <v>600605</v>
      </c>
    </row>
    <row r="20" spans="1:63">
      <c r="A20" s="10">
        <v>15</v>
      </c>
      <c r="B20" s="10" t="s">
        <v>101</v>
      </c>
      <c r="C20" s="12" t="s">
        <v>214</v>
      </c>
      <c r="D20" s="29">
        <v>3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5</v>
      </c>
      <c r="P20" s="29">
        <v>569</v>
      </c>
      <c r="Q20" s="29">
        <v>2470</v>
      </c>
      <c r="R20" s="29">
        <v>16649</v>
      </c>
      <c r="S20" s="29">
        <v>6</v>
      </c>
      <c r="T20" s="29">
        <v>158</v>
      </c>
      <c r="U20" s="29">
        <v>260</v>
      </c>
      <c r="V20" s="29">
        <v>88</v>
      </c>
      <c r="W20" s="29">
        <v>14</v>
      </c>
      <c r="X20" s="29">
        <v>167</v>
      </c>
      <c r="Y20" s="29">
        <v>0</v>
      </c>
      <c r="Z20" s="29">
        <v>10</v>
      </c>
      <c r="AA20" s="29">
        <v>3</v>
      </c>
      <c r="AB20" s="29">
        <v>989</v>
      </c>
      <c r="AC20" s="29">
        <v>6</v>
      </c>
      <c r="AD20" s="29">
        <v>0</v>
      </c>
      <c r="AE20" s="29">
        <v>6</v>
      </c>
      <c r="AF20" s="29">
        <v>64</v>
      </c>
      <c r="AG20" s="29">
        <v>1410</v>
      </c>
      <c r="AH20" s="29">
        <v>0</v>
      </c>
      <c r="AI20" s="29">
        <v>13333</v>
      </c>
      <c r="AJ20" s="29">
        <v>0</v>
      </c>
      <c r="AK20" s="29">
        <v>2994</v>
      </c>
      <c r="AL20" s="29">
        <v>531</v>
      </c>
      <c r="AM20" s="29">
        <v>545</v>
      </c>
      <c r="AN20" s="29">
        <v>0</v>
      </c>
      <c r="AO20" s="22">
        <v>40280</v>
      </c>
      <c r="AP20" s="55">
        <v>33</v>
      </c>
      <c r="AQ20" s="21">
        <v>1106</v>
      </c>
      <c r="AR20" s="21">
        <v>6</v>
      </c>
      <c r="AS20" s="21">
        <v>9154</v>
      </c>
      <c r="AT20" s="21">
        <v>52072</v>
      </c>
      <c r="AU20" s="21">
        <v>-3232</v>
      </c>
      <c r="AV20" s="22">
        <v>59139</v>
      </c>
      <c r="AW20" s="22">
        <v>99419</v>
      </c>
      <c r="AX20" s="22">
        <v>50764</v>
      </c>
      <c r="AY20" s="22">
        <v>50764</v>
      </c>
      <c r="AZ20" s="22">
        <v>129099</v>
      </c>
      <c r="BA20" s="22">
        <v>179863</v>
      </c>
      <c r="BB20" s="22">
        <v>239002</v>
      </c>
      <c r="BC20" s="22">
        <v>279282</v>
      </c>
      <c r="BD20" s="21">
        <v>-30046</v>
      </c>
      <c r="BE20" s="21">
        <v>-11</v>
      </c>
      <c r="BF20" s="21">
        <v>-3006</v>
      </c>
      <c r="BG20" s="22">
        <v>-33063</v>
      </c>
      <c r="BH20" s="22">
        <v>-38938</v>
      </c>
      <c r="BI20" s="22">
        <v>-72001</v>
      </c>
      <c r="BJ20" s="22">
        <v>167001</v>
      </c>
      <c r="BK20" s="23">
        <v>207281</v>
      </c>
    </row>
    <row r="21" spans="1:63">
      <c r="A21" s="10">
        <v>16</v>
      </c>
      <c r="B21" s="10" t="s">
        <v>102</v>
      </c>
      <c r="C21" s="12" t="s">
        <v>215</v>
      </c>
      <c r="D21" s="29">
        <v>0</v>
      </c>
      <c r="E21" s="29">
        <v>0</v>
      </c>
      <c r="F21" s="29">
        <v>0</v>
      </c>
      <c r="G21" s="29">
        <v>0</v>
      </c>
      <c r="H21" s="29">
        <v>1</v>
      </c>
      <c r="I21" s="29">
        <v>1</v>
      </c>
      <c r="J21" s="29">
        <v>0</v>
      </c>
      <c r="K21" s="29">
        <v>0</v>
      </c>
      <c r="L21" s="29">
        <v>0</v>
      </c>
      <c r="M21" s="29">
        <v>0</v>
      </c>
      <c r="N21" s="29">
        <v>21</v>
      </c>
      <c r="O21" s="29">
        <v>164</v>
      </c>
      <c r="P21" s="29">
        <v>1448</v>
      </c>
      <c r="Q21" s="29">
        <v>6757</v>
      </c>
      <c r="R21" s="29">
        <v>24265</v>
      </c>
      <c r="S21" s="29">
        <v>192946</v>
      </c>
      <c r="T21" s="29">
        <v>52014</v>
      </c>
      <c r="U21" s="29">
        <v>135488</v>
      </c>
      <c r="V21" s="29">
        <v>5372</v>
      </c>
      <c r="W21" s="29">
        <v>3570</v>
      </c>
      <c r="X21" s="29">
        <v>344</v>
      </c>
      <c r="Y21" s="29">
        <v>1</v>
      </c>
      <c r="Z21" s="29">
        <v>2</v>
      </c>
      <c r="AA21" s="29">
        <v>0</v>
      </c>
      <c r="AB21" s="29">
        <v>33</v>
      </c>
      <c r="AC21" s="29">
        <v>22</v>
      </c>
      <c r="AD21" s="29">
        <v>0</v>
      </c>
      <c r="AE21" s="29">
        <v>0</v>
      </c>
      <c r="AF21" s="29">
        <v>334</v>
      </c>
      <c r="AG21" s="29">
        <v>703</v>
      </c>
      <c r="AH21" s="29">
        <v>718</v>
      </c>
      <c r="AI21" s="29">
        <v>2</v>
      </c>
      <c r="AJ21" s="29">
        <v>0</v>
      </c>
      <c r="AK21" s="29">
        <v>9735</v>
      </c>
      <c r="AL21" s="29">
        <v>10</v>
      </c>
      <c r="AM21" s="29">
        <v>746</v>
      </c>
      <c r="AN21" s="29">
        <v>0</v>
      </c>
      <c r="AO21" s="22">
        <v>434697</v>
      </c>
      <c r="AP21" s="55">
        <v>6</v>
      </c>
      <c r="AQ21" s="21">
        <v>577</v>
      </c>
      <c r="AR21" s="21">
        <v>0</v>
      </c>
      <c r="AS21" s="21">
        <v>0</v>
      </c>
      <c r="AT21" s="21">
        <v>0</v>
      </c>
      <c r="AU21" s="21">
        <v>1879</v>
      </c>
      <c r="AV21" s="22">
        <v>2462</v>
      </c>
      <c r="AW21" s="22">
        <v>437159</v>
      </c>
      <c r="AX21" s="22">
        <v>439407</v>
      </c>
      <c r="AY21" s="22">
        <v>439407</v>
      </c>
      <c r="AZ21" s="22">
        <v>163681</v>
      </c>
      <c r="BA21" s="22">
        <v>603088</v>
      </c>
      <c r="BB21" s="22">
        <v>605550</v>
      </c>
      <c r="BC21" s="22">
        <v>1040247</v>
      </c>
      <c r="BD21" s="21">
        <v>-123066</v>
      </c>
      <c r="BE21" s="21">
        <v>0</v>
      </c>
      <c r="BF21" s="21">
        <v>-12307</v>
      </c>
      <c r="BG21" s="22">
        <v>-135373</v>
      </c>
      <c r="BH21" s="22">
        <v>-276391</v>
      </c>
      <c r="BI21" s="22">
        <v>-411764</v>
      </c>
      <c r="BJ21" s="22">
        <v>193786</v>
      </c>
      <c r="BK21" s="23">
        <v>628483</v>
      </c>
    </row>
    <row r="22" spans="1:63">
      <c r="A22" s="10">
        <v>17</v>
      </c>
      <c r="B22" s="10" t="s">
        <v>104</v>
      </c>
      <c r="C22" s="12" t="s">
        <v>105</v>
      </c>
      <c r="D22" s="29">
        <v>2</v>
      </c>
      <c r="E22" s="29">
        <v>0</v>
      </c>
      <c r="F22" s="29">
        <v>0</v>
      </c>
      <c r="G22" s="29">
        <v>0</v>
      </c>
      <c r="H22" s="29">
        <v>7</v>
      </c>
      <c r="I22" s="29">
        <v>1</v>
      </c>
      <c r="J22" s="29">
        <v>0</v>
      </c>
      <c r="K22" s="29">
        <v>7</v>
      </c>
      <c r="L22" s="29">
        <v>2</v>
      </c>
      <c r="M22" s="29">
        <v>0</v>
      </c>
      <c r="N22" s="29">
        <v>9</v>
      </c>
      <c r="O22" s="29">
        <v>71</v>
      </c>
      <c r="P22" s="29">
        <v>4376</v>
      </c>
      <c r="Q22" s="29">
        <v>13770</v>
      </c>
      <c r="R22" s="29">
        <v>3273</v>
      </c>
      <c r="S22" s="29">
        <v>6205</v>
      </c>
      <c r="T22" s="29">
        <v>20001</v>
      </c>
      <c r="U22" s="29">
        <v>7854</v>
      </c>
      <c r="V22" s="29">
        <v>18366</v>
      </c>
      <c r="W22" s="29">
        <v>1003</v>
      </c>
      <c r="X22" s="29">
        <v>8652</v>
      </c>
      <c r="Y22" s="29">
        <v>1</v>
      </c>
      <c r="Z22" s="29">
        <v>24</v>
      </c>
      <c r="AA22" s="29">
        <v>0</v>
      </c>
      <c r="AB22" s="29">
        <v>226</v>
      </c>
      <c r="AC22" s="29">
        <v>1</v>
      </c>
      <c r="AD22" s="29">
        <v>22</v>
      </c>
      <c r="AE22" s="29">
        <v>83</v>
      </c>
      <c r="AF22" s="29">
        <v>79</v>
      </c>
      <c r="AG22" s="29">
        <v>768</v>
      </c>
      <c r="AH22" s="29">
        <v>463</v>
      </c>
      <c r="AI22" s="29">
        <v>66</v>
      </c>
      <c r="AJ22" s="29">
        <v>0</v>
      </c>
      <c r="AK22" s="29">
        <v>5567</v>
      </c>
      <c r="AL22" s="29">
        <v>71</v>
      </c>
      <c r="AM22" s="29">
        <v>0</v>
      </c>
      <c r="AN22" s="29">
        <v>16</v>
      </c>
      <c r="AO22" s="22">
        <v>90986</v>
      </c>
      <c r="AP22" s="55">
        <v>1053</v>
      </c>
      <c r="AQ22" s="21">
        <v>79667</v>
      </c>
      <c r="AR22" s="21">
        <v>0</v>
      </c>
      <c r="AS22" s="21">
        <v>9043</v>
      </c>
      <c r="AT22" s="21">
        <v>75463</v>
      </c>
      <c r="AU22" s="21">
        <v>-2802</v>
      </c>
      <c r="AV22" s="22">
        <v>162424</v>
      </c>
      <c r="AW22" s="22">
        <v>253410</v>
      </c>
      <c r="AX22" s="22">
        <v>58911</v>
      </c>
      <c r="AY22" s="22">
        <v>58911</v>
      </c>
      <c r="AZ22" s="22">
        <v>194211</v>
      </c>
      <c r="BA22" s="22">
        <v>253122</v>
      </c>
      <c r="BB22" s="22">
        <v>415546</v>
      </c>
      <c r="BC22" s="22">
        <v>506532</v>
      </c>
      <c r="BD22" s="21">
        <v>-80344</v>
      </c>
      <c r="BE22" s="21">
        <v>-2</v>
      </c>
      <c r="BF22" s="21">
        <v>-8031</v>
      </c>
      <c r="BG22" s="22">
        <v>-88377</v>
      </c>
      <c r="BH22" s="22">
        <v>-150375</v>
      </c>
      <c r="BI22" s="22">
        <v>-238752</v>
      </c>
      <c r="BJ22" s="22">
        <v>176794</v>
      </c>
      <c r="BK22" s="23">
        <v>267780</v>
      </c>
    </row>
    <row r="23" spans="1:63">
      <c r="A23" s="10">
        <v>18</v>
      </c>
      <c r="B23" s="10" t="s">
        <v>106</v>
      </c>
      <c r="C23" s="12" t="s">
        <v>216</v>
      </c>
      <c r="D23" s="29">
        <v>1</v>
      </c>
      <c r="E23" s="29">
        <v>0</v>
      </c>
      <c r="F23" s="29">
        <v>7</v>
      </c>
      <c r="G23" s="29">
        <v>0</v>
      </c>
      <c r="H23" s="29">
        <v>0</v>
      </c>
      <c r="I23" s="29">
        <v>10</v>
      </c>
      <c r="J23" s="29">
        <v>1</v>
      </c>
      <c r="K23" s="29">
        <v>0</v>
      </c>
      <c r="L23" s="29">
        <v>2</v>
      </c>
      <c r="M23" s="29">
        <v>0</v>
      </c>
      <c r="N23" s="29">
        <v>0</v>
      </c>
      <c r="O23" s="29">
        <v>12</v>
      </c>
      <c r="P23" s="29">
        <v>109</v>
      </c>
      <c r="Q23" s="29">
        <v>149</v>
      </c>
      <c r="R23" s="29">
        <v>5</v>
      </c>
      <c r="S23" s="29">
        <v>18</v>
      </c>
      <c r="T23" s="29">
        <v>9</v>
      </c>
      <c r="U23" s="29">
        <v>10900</v>
      </c>
      <c r="V23" s="29">
        <v>28</v>
      </c>
      <c r="W23" s="29">
        <v>3</v>
      </c>
      <c r="X23" s="29">
        <v>2098</v>
      </c>
      <c r="Y23" s="29">
        <v>2</v>
      </c>
      <c r="Z23" s="29">
        <v>1</v>
      </c>
      <c r="AA23" s="29">
        <v>3</v>
      </c>
      <c r="AB23" s="29">
        <v>252</v>
      </c>
      <c r="AC23" s="29">
        <v>52</v>
      </c>
      <c r="AD23" s="29">
        <v>54</v>
      </c>
      <c r="AE23" s="29">
        <v>39</v>
      </c>
      <c r="AF23" s="29">
        <v>62</v>
      </c>
      <c r="AG23" s="29">
        <v>698</v>
      </c>
      <c r="AH23" s="29">
        <v>65</v>
      </c>
      <c r="AI23" s="29">
        <v>18</v>
      </c>
      <c r="AJ23" s="29">
        <v>7</v>
      </c>
      <c r="AK23" s="29">
        <v>972</v>
      </c>
      <c r="AL23" s="29">
        <v>49</v>
      </c>
      <c r="AM23" s="29">
        <v>0</v>
      </c>
      <c r="AN23" s="29">
        <v>0</v>
      </c>
      <c r="AO23" s="22">
        <v>15626</v>
      </c>
      <c r="AP23" s="55">
        <v>529</v>
      </c>
      <c r="AQ23" s="21">
        <v>76742</v>
      </c>
      <c r="AR23" s="21">
        <v>0</v>
      </c>
      <c r="AS23" s="21">
        <v>27259</v>
      </c>
      <c r="AT23" s="21">
        <v>76765</v>
      </c>
      <c r="AU23" s="21">
        <v>-9270</v>
      </c>
      <c r="AV23" s="22">
        <v>172025</v>
      </c>
      <c r="AW23" s="22">
        <v>187651</v>
      </c>
      <c r="AX23" s="22">
        <v>66023</v>
      </c>
      <c r="AY23" s="22">
        <v>66023</v>
      </c>
      <c r="AZ23" s="22">
        <v>357525</v>
      </c>
      <c r="BA23" s="22">
        <v>423548</v>
      </c>
      <c r="BB23" s="22">
        <v>595573</v>
      </c>
      <c r="BC23" s="22">
        <v>611199</v>
      </c>
      <c r="BD23" s="21">
        <v>-119031</v>
      </c>
      <c r="BE23" s="21">
        <v>0</v>
      </c>
      <c r="BF23" s="21">
        <v>-11892</v>
      </c>
      <c r="BG23" s="22">
        <v>-130923</v>
      </c>
      <c r="BH23" s="22">
        <v>-38435</v>
      </c>
      <c r="BI23" s="22">
        <v>-169358</v>
      </c>
      <c r="BJ23" s="22">
        <v>426215</v>
      </c>
      <c r="BK23" s="23">
        <v>441841</v>
      </c>
    </row>
    <row r="24" spans="1:63">
      <c r="A24" s="10">
        <v>19</v>
      </c>
      <c r="B24" s="10" t="s">
        <v>108</v>
      </c>
      <c r="C24" s="12" t="s">
        <v>109</v>
      </c>
      <c r="D24" s="29">
        <v>3</v>
      </c>
      <c r="E24" s="29">
        <v>1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284</v>
      </c>
      <c r="R24" s="29">
        <v>0</v>
      </c>
      <c r="S24" s="29">
        <v>0</v>
      </c>
      <c r="T24" s="29">
        <v>0</v>
      </c>
      <c r="U24" s="29">
        <v>0</v>
      </c>
      <c r="V24" s="29">
        <v>120074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2652</v>
      </c>
      <c r="AF24" s="29">
        <v>0</v>
      </c>
      <c r="AG24" s="29">
        <v>3064</v>
      </c>
      <c r="AH24" s="29">
        <v>82</v>
      </c>
      <c r="AI24" s="29">
        <v>0</v>
      </c>
      <c r="AJ24" s="29">
        <v>0</v>
      </c>
      <c r="AK24" s="29">
        <v>30956</v>
      </c>
      <c r="AL24" s="29">
        <v>33</v>
      </c>
      <c r="AM24" s="29">
        <v>0</v>
      </c>
      <c r="AN24" s="29">
        <v>0</v>
      </c>
      <c r="AO24" s="22">
        <v>157149</v>
      </c>
      <c r="AP24" s="55">
        <v>0</v>
      </c>
      <c r="AQ24" s="21">
        <v>84582</v>
      </c>
      <c r="AR24" s="21">
        <v>0</v>
      </c>
      <c r="AS24" s="21">
        <v>14743</v>
      </c>
      <c r="AT24" s="21">
        <v>79777</v>
      </c>
      <c r="AU24" s="21">
        <v>-1664</v>
      </c>
      <c r="AV24" s="22">
        <v>177438</v>
      </c>
      <c r="AW24" s="22">
        <v>334587</v>
      </c>
      <c r="AX24" s="22">
        <v>60487</v>
      </c>
      <c r="AY24" s="22">
        <v>60487</v>
      </c>
      <c r="AZ24" s="22">
        <v>267549</v>
      </c>
      <c r="BA24" s="22">
        <v>328036</v>
      </c>
      <c r="BB24" s="22">
        <v>505474</v>
      </c>
      <c r="BC24" s="22">
        <v>662623</v>
      </c>
      <c r="BD24" s="21">
        <v>-33145</v>
      </c>
      <c r="BE24" s="21">
        <v>0</v>
      </c>
      <c r="BF24" s="21">
        <v>-3199</v>
      </c>
      <c r="BG24" s="22">
        <v>-36344</v>
      </c>
      <c r="BH24" s="22">
        <v>-274026</v>
      </c>
      <c r="BI24" s="22">
        <v>-310370</v>
      </c>
      <c r="BJ24" s="22">
        <v>195104</v>
      </c>
      <c r="BK24" s="23">
        <v>352253</v>
      </c>
    </row>
    <row r="25" spans="1:63">
      <c r="A25" s="10">
        <v>20</v>
      </c>
      <c r="B25" s="10" t="s">
        <v>110</v>
      </c>
      <c r="C25" s="12" t="s">
        <v>66</v>
      </c>
      <c r="D25" s="29">
        <v>777</v>
      </c>
      <c r="E25" s="29">
        <v>14</v>
      </c>
      <c r="F25" s="29">
        <v>5039</v>
      </c>
      <c r="G25" s="29">
        <v>284</v>
      </c>
      <c r="H25" s="29">
        <v>1612</v>
      </c>
      <c r="I25" s="29">
        <v>645</v>
      </c>
      <c r="J25" s="29">
        <v>8</v>
      </c>
      <c r="K25" s="29">
        <v>1077</v>
      </c>
      <c r="L25" s="29">
        <v>589</v>
      </c>
      <c r="M25" s="29">
        <v>206</v>
      </c>
      <c r="N25" s="29">
        <v>4948</v>
      </c>
      <c r="O25" s="29">
        <v>265</v>
      </c>
      <c r="P25" s="29">
        <v>296</v>
      </c>
      <c r="Q25" s="29">
        <v>1248</v>
      </c>
      <c r="R25" s="29">
        <v>1701</v>
      </c>
      <c r="S25" s="29">
        <v>1528</v>
      </c>
      <c r="T25" s="29">
        <v>1377</v>
      </c>
      <c r="U25" s="29">
        <v>2320</v>
      </c>
      <c r="V25" s="29">
        <v>353</v>
      </c>
      <c r="W25" s="29">
        <v>12575</v>
      </c>
      <c r="X25" s="29">
        <v>3451</v>
      </c>
      <c r="Y25" s="29">
        <v>787</v>
      </c>
      <c r="Z25" s="29">
        <v>325</v>
      </c>
      <c r="AA25" s="29">
        <v>546</v>
      </c>
      <c r="AB25" s="29">
        <v>6476</v>
      </c>
      <c r="AC25" s="29">
        <v>7074</v>
      </c>
      <c r="AD25" s="29">
        <v>54</v>
      </c>
      <c r="AE25" s="29">
        <v>1013</v>
      </c>
      <c r="AF25" s="29">
        <v>10763</v>
      </c>
      <c r="AG25" s="29">
        <v>4124</v>
      </c>
      <c r="AH25" s="29">
        <v>11137</v>
      </c>
      <c r="AI25" s="29">
        <v>4372</v>
      </c>
      <c r="AJ25" s="29">
        <v>4797</v>
      </c>
      <c r="AK25" s="29">
        <v>5830</v>
      </c>
      <c r="AL25" s="29">
        <v>3158</v>
      </c>
      <c r="AM25" s="29">
        <v>2998</v>
      </c>
      <c r="AN25" s="29">
        <v>53</v>
      </c>
      <c r="AO25" s="22">
        <v>103820</v>
      </c>
      <c r="AP25" s="55">
        <v>3071</v>
      </c>
      <c r="AQ25" s="21">
        <v>39179</v>
      </c>
      <c r="AR25" s="21">
        <v>0</v>
      </c>
      <c r="AS25" s="21">
        <v>1736</v>
      </c>
      <c r="AT25" s="21">
        <v>16578</v>
      </c>
      <c r="AU25" s="21">
        <v>-8875</v>
      </c>
      <c r="AV25" s="22">
        <v>51689</v>
      </c>
      <c r="AW25" s="22">
        <v>155509</v>
      </c>
      <c r="AX25" s="22">
        <v>27889</v>
      </c>
      <c r="AY25" s="22">
        <v>27889</v>
      </c>
      <c r="AZ25" s="22">
        <v>79691</v>
      </c>
      <c r="BA25" s="22">
        <v>107580</v>
      </c>
      <c r="BB25" s="22">
        <v>159269</v>
      </c>
      <c r="BC25" s="22">
        <v>263089</v>
      </c>
      <c r="BD25" s="21">
        <v>-38405</v>
      </c>
      <c r="BE25" s="21">
        <v>-1105</v>
      </c>
      <c r="BF25" s="21">
        <v>-3821</v>
      </c>
      <c r="BG25" s="22">
        <v>-43331</v>
      </c>
      <c r="BH25" s="22">
        <v>-47784</v>
      </c>
      <c r="BI25" s="22">
        <v>-91115</v>
      </c>
      <c r="BJ25" s="22">
        <v>68154</v>
      </c>
      <c r="BK25" s="23">
        <v>171974</v>
      </c>
    </row>
    <row r="26" spans="1:63">
      <c r="A26" s="10">
        <v>21</v>
      </c>
      <c r="B26" s="10" t="s">
        <v>111</v>
      </c>
      <c r="C26" s="12" t="s">
        <v>112</v>
      </c>
      <c r="D26" s="29">
        <v>1230</v>
      </c>
      <c r="E26" s="29">
        <v>14</v>
      </c>
      <c r="F26" s="29">
        <v>508</v>
      </c>
      <c r="G26" s="29">
        <v>39</v>
      </c>
      <c r="H26" s="29">
        <v>601</v>
      </c>
      <c r="I26" s="29">
        <v>284</v>
      </c>
      <c r="J26" s="29">
        <v>55</v>
      </c>
      <c r="K26" s="29">
        <v>1000</v>
      </c>
      <c r="L26" s="29">
        <v>935</v>
      </c>
      <c r="M26" s="29">
        <v>150</v>
      </c>
      <c r="N26" s="29">
        <v>402</v>
      </c>
      <c r="O26" s="29">
        <v>1225</v>
      </c>
      <c r="P26" s="29">
        <v>716</v>
      </c>
      <c r="Q26" s="29">
        <v>1076</v>
      </c>
      <c r="R26" s="29">
        <v>391</v>
      </c>
      <c r="S26" s="29">
        <v>3022</v>
      </c>
      <c r="T26" s="29">
        <v>575</v>
      </c>
      <c r="U26" s="29">
        <v>1250</v>
      </c>
      <c r="V26" s="29">
        <v>391</v>
      </c>
      <c r="W26" s="29">
        <v>372</v>
      </c>
      <c r="X26" s="29">
        <v>881</v>
      </c>
      <c r="Y26" s="29">
        <v>5705</v>
      </c>
      <c r="Z26" s="29">
        <v>4602</v>
      </c>
      <c r="AA26" s="29">
        <v>299</v>
      </c>
      <c r="AB26" s="29">
        <v>4510</v>
      </c>
      <c r="AC26" s="29">
        <v>1813</v>
      </c>
      <c r="AD26" s="29">
        <v>17489</v>
      </c>
      <c r="AE26" s="29">
        <v>8307</v>
      </c>
      <c r="AF26" s="29">
        <v>2527</v>
      </c>
      <c r="AG26" s="29">
        <v>5702</v>
      </c>
      <c r="AH26" s="29">
        <v>4208</v>
      </c>
      <c r="AI26" s="29">
        <v>3724</v>
      </c>
      <c r="AJ26" s="29">
        <v>210</v>
      </c>
      <c r="AK26" s="29">
        <v>1408</v>
      </c>
      <c r="AL26" s="29">
        <v>1781</v>
      </c>
      <c r="AM26" s="29">
        <v>0</v>
      </c>
      <c r="AN26" s="29">
        <v>1015</v>
      </c>
      <c r="AO26" s="22">
        <v>78417</v>
      </c>
      <c r="AP26" s="55">
        <v>0</v>
      </c>
      <c r="AQ26" s="21">
        <v>0</v>
      </c>
      <c r="AR26" s="21">
        <v>0</v>
      </c>
      <c r="AS26" s="21">
        <v>434972</v>
      </c>
      <c r="AT26" s="21">
        <v>622906</v>
      </c>
      <c r="AU26" s="21">
        <v>0</v>
      </c>
      <c r="AV26" s="22">
        <v>1057878</v>
      </c>
      <c r="AW26" s="22">
        <v>1136295</v>
      </c>
      <c r="AX26" s="22">
        <v>0</v>
      </c>
      <c r="AY26" s="22">
        <v>0</v>
      </c>
      <c r="AZ26" s="22">
        <v>0</v>
      </c>
      <c r="BA26" s="22">
        <v>0</v>
      </c>
      <c r="BB26" s="22">
        <v>1057878</v>
      </c>
      <c r="BC26" s="22">
        <v>1136295</v>
      </c>
      <c r="BD26" s="21">
        <v>0</v>
      </c>
      <c r="BE26" s="21">
        <v>0</v>
      </c>
      <c r="BF26" s="21">
        <v>0</v>
      </c>
      <c r="BG26" s="22">
        <v>0</v>
      </c>
      <c r="BH26" s="22">
        <v>0</v>
      </c>
      <c r="BI26" s="22">
        <v>0</v>
      </c>
      <c r="BJ26" s="22">
        <v>1057878</v>
      </c>
      <c r="BK26" s="23">
        <v>1136295</v>
      </c>
    </row>
    <row r="27" spans="1:63">
      <c r="A27" s="10">
        <v>22</v>
      </c>
      <c r="B27" s="10" t="s">
        <v>113</v>
      </c>
      <c r="C27" s="12" t="s">
        <v>217</v>
      </c>
      <c r="D27" s="29">
        <v>4175</v>
      </c>
      <c r="E27" s="29">
        <v>74</v>
      </c>
      <c r="F27" s="29">
        <v>9381</v>
      </c>
      <c r="G27" s="29">
        <v>302</v>
      </c>
      <c r="H27" s="29">
        <v>2929</v>
      </c>
      <c r="I27" s="29">
        <v>2398</v>
      </c>
      <c r="J27" s="29">
        <v>152</v>
      </c>
      <c r="K27" s="29">
        <v>5077</v>
      </c>
      <c r="L27" s="29">
        <v>7132</v>
      </c>
      <c r="M27" s="29">
        <v>2163</v>
      </c>
      <c r="N27" s="29">
        <v>2901</v>
      </c>
      <c r="O27" s="29">
        <v>4999</v>
      </c>
      <c r="P27" s="29">
        <v>4153</v>
      </c>
      <c r="Q27" s="29">
        <v>5739</v>
      </c>
      <c r="R27" s="29">
        <v>2866</v>
      </c>
      <c r="S27" s="29">
        <v>18312</v>
      </c>
      <c r="T27" s="29">
        <v>2283</v>
      </c>
      <c r="U27" s="29">
        <v>2245</v>
      </c>
      <c r="V27" s="29">
        <v>5029</v>
      </c>
      <c r="W27" s="29">
        <v>2966</v>
      </c>
      <c r="X27" s="29">
        <v>2934</v>
      </c>
      <c r="Y27" s="29">
        <v>37206</v>
      </c>
      <c r="Z27" s="29">
        <v>5147</v>
      </c>
      <c r="AA27" s="29">
        <v>6778</v>
      </c>
      <c r="AB27" s="29">
        <v>29259</v>
      </c>
      <c r="AC27" s="29">
        <v>2385</v>
      </c>
      <c r="AD27" s="29">
        <v>4254</v>
      </c>
      <c r="AE27" s="29">
        <v>5219</v>
      </c>
      <c r="AF27" s="29">
        <v>3371</v>
      </c>
      <c r="AG27" s="29">
        <v>6101</v>
      </c>
      <c r="AH27" s="29">
        <v>9590</v>
      </c>
      <c r="AI27" s="29">
        <v>14420</v>
      </c>
      <c r="AJ27" s="29">
        <v>448</v>
      </c>
      <c r="AK27" s="29">
        <v>4039</v>
      </c>
      <c r="AL27" s="29">
        <v>18695</v>
      </c>
      <c r="AM27" s="29">
        <v>0</v>
      </c>
      <c r="AN27" s="29">
        <v>197.99999999999994</v>
      </c>
      <c r="AO27" s="22">
        <v>235320</v>
      </c>
      <c r="AP27" s="55">
        <v>87</v>
      </c>
      <c r="AQ27" s="21">
        <v>86488</v>
      </c>
      <c r="AR27" s="21">
        <v>0</v>
      </c>
      <c r="AS27" s="21">
        <v>0</v>
      </c>
      <c r="AT27" s="21">
        <v>0</v>
      </c>
      <c r="AU27" s="21">
        <v>0</v>
      </c>
      <c r="AV27" s="22">
        <v>86575</v>
      </c>
      <c r="AW27" s="22">
        <v>321895</v>
      </c>
      <c r="AX27" s="22">
        <v>542</v>
      </c>
      <c r="AY27" s="22">
        <v>542</v>
      </c>
      <c r="AZ27" s="22">
        <v>66482</v>
      </c>
      <c r="BA27" s="22">
        <v>67024</v>
      </c>
      <c r="BB27" s="22">
        <v>153599</v>
      </c>
      <c r="BC27" s="22">
        <v>388919</v>
      </c>
      <c r="BD27" s="21">
        <v>-51</v>
      </c>
      <c r="BE27" s="21">
        <v>0</v>
      </c>
      <c r="BF27" s="21">
        <v>0</v>
      </c>
      <c r="BG27" s="22">
        <v>-51</v>
      </c>
      <c r="BH27" s="22">
        <v>-106832</v>
      </c>
      <c r="BI27" s="22">
        <v>-106883</v>
      </c>
      <c r="BJ27" s="22">
        <v>46716</v>
      </c>
      <c r="BK27" s="23">
        <v>282036</v>
      </c>
    </row>
    <row r="28" spans="1:63">
      <c r="A28" s="10">
        <v>23</v>
      </c>
      <c r="B28" s="10" t="s">
        <v>115</v>
      </c>
      <c r="C28" s="12" t="s">
        <v>0</v>
      </c>
      <c r="D28" s="29">
        <v>126</v>
      </c>
      <c r="E28" s="29">
        <v>2</v>
      </c>
      <c r="F28" s="29">
        <v>1168</v>
      </c>
      <c r="G28" s="29">
        <v>14</v>
      </c>
      <c r="H28" s="29">
        <v>83</v>
      </c>
      <c r="I28" s="29">
        <v>318</v>
      </c>
      <c r="J28" s="29">
        <v>4</v>
      </c>
      <c r="K28" s="29">
        <v>102</v>
      </c>
      <c r="L28" s="29">
        <v>90</v>
      </c>
      <c r="M28" s="29">
        <v>7</v>
      </c>
      <c r="N28" s="29">
        <v>30</v>
      </c>
      <c r="O28" s="29">
        <v>113</v>
      </c>
      <c r="P28" s="29">
        <v>192</v>
      </c>
      <c r="Q28" s="29">
        <v>262</v>
      </c>
      <c r="R28" s="29">
        <v>68</v>
      </c>
      <c r="S28" s="29">
        <v>808</v>
      </c>
      <c r="T28" s="29">
        <v>97</v>
      </c>
      <c r="U28" s="29">
        <v>124</v>
      </c>
      <c r="V28" s="29">
        <v>103</v>
      </c>
      <c r="W28" s="29">
        <v>104</v>
      </c>
      <c r="X28" s="29">
        <v>1041</v>
      </c>
      <c r="Y28" s="29">
        <v>293</v>
      </c>
      <c r="Z28" s="29">
        <v>7892</v>
      </c>
      <c r="AA28" s="29">
        <v>839</v>
      </c>
      <c r="AB28" s="29">
        <v>3211</v>
      </c>
      <c r="AC28" s="29">
        <v>580</v>
      </c>
      <c r="AD28" s="29">
        <v>531</v>
      </c>
      <c r="AE28" s="29">
        <v>3984</v>
      </c>
      <c r="AF28" s="29">
        <v>1354</v>
      </c>
      <c r="AG28" s="29">
        <v>2546</v>
      </c>
      <c r="AH28" s="29">
        <v>5389</v>
      </c>
      <c r="AI28" s="29">
        <v>5859</v>
      </c>
      <c r="AJ28" s="29">
        <v>271</v>
      </c>
      <c r="AK28" s="29">
        <v>714</v>
      </c>
      <c r="AL28" s="29">
        <v>5828</v>
      </c>
      <c r="AM28" s="29">
        <v>0</v>
      </c>
      <c r="AN28" s="29">
        <v>56</v>
      </c>
      <c r="AO28" s="22">
        <v>44203</v>
      </c>
      <c r="AP28" s="55">
        <v>40</v>
      </c>
      <c r="AQ28" s="21">
        <v>50987</v>
      </c>
      <c r="AR28" s="21">
        <v>-1013</v>
      </c>
      <c r="AS28" s="21">
        <v>0</v>
      </c>
      <c r="AT28" s="21">
        <v>0</v>
      </c>
      <c r="AU28" s="21">
        <v>0</v>
      </c>
      <c r="AV28" s="22">
        <v>50014</v>
      </c>
      <c r="AW28" s="22">
        <v>94217</v>
      </c>
      <c r="AX28" s="22">
        <v>441</v>
      </c>
      <c r="AY28" s="22">
        <v>441</v>
      </c>
      <c r="AZ28" s="22">
        <v>0</v>
      </c>
      <c r="BA28" s="22">
        <v>441</v>
      </c>
      <c r="BB28" s="22">
        <v>50455</v>
      </c>
      <c r="BC28" s="22">
        <v>94658</v>
      </c>
      <c r="BD28" s="21">
        <v>-13</v>
      </c>
      <c r="BE28" s="21">
        <v>0</v>
      </c>
      <c r="BF28" s="21">
        <v>0</v>
      </c>
      <c r="BG28" s="22">
        <v>-13</v>
      </c>
      <c r="BH28" s="22">
        <v>0</v>
      </c>
      <c r="BI28" s="22">
        <v>-13</v>
      </c>
      <c r="BJ28" s="22">
        <v>50442</v>
      </c>
      <c r="BK28" s="23">
        <v>94645</v>
      </c>
    </row>
    <row r="29" spans="1:63">
      <c r="A29" s="10">
        <v>24</v>
      </c>
      <c r="B29" s="10" t="s">
        <v>116</v>
      </c>
      <c r="C29" s="12" t="s">
        <v>1</v>
      </c>
      <c r="D29" s="29">
        <v>64</v>
      </c>
      <c r="E29" s="29">
        <v>5</v>
      </c>
      <c r="F29" s="29">
        <v>1087</v>
      </c>
      <c r="G29" s="29">
        <v>6</v>
      </c>
      <c r="H29" s="29">
        <v>108</v>
      </c>
      <c r="I29" s="29">
        <v>479</v>
      </c>
      <c r="J29" s="29">
        <v>0</v>
      </c>
      <c r="K29" s="29">
        <v>14</v>
      </c>
      <c r="L29" s="29">
        <v>405</v>
      </c>
      <c r="M29" s="29">
        <v>1</v>
      </c>
      <c r="N29" s="29">
        <v>25</v>
      </c>
      <c r="O29" s="29">
        <v>34</v>
      </c>
      <c r="P29" s="29">
        <v>116</v>
      </c>
      <c r="Q29" s="29">
        <v>16</v>
      </c>
      <c r="R29" s="29">
        <v>45</v>
      </c>
      <c r="S29" s="29">
        <v>558</v>
      </c>
      <c r="T29" s="29">
        <v>52</v>
      </c>
      <c r="U29" s="29">
        <v>138</v>
      </c>
      <c r="V29" s="29">
        <v>51</v>
      </c>
      <c r="W29" s="29">
        <v>60</v>
      </c>
      <c r="X29" s="29">
        <v>3256</v>
      </c>
      <c r="Y29" s="29">
        <v>357</v>
      </c>
      <c r="Z29" s="29">
        <v>266</v>
      </c>
      <c r="AA29" s="29">
        <v>0</v>
      </c>
      <c r="AB29" s="29">
        <v>1835</v>
      </c>
      <c r="AC29" s="29">
        <v>2226</v>
      </c>
      <c r="AD29" s="29">
        <v>20</v>
      </c>
      <c r="AE29" s="29">
        <v>4243</v>
      </c>
      <c r="AF29" s="29">
        <v>4028</v>
      </c>
      <c r="AG29" s="29">
        <v>22883</v>
      </c>
      <c r="AH29" s="29">
        <v>5167</v>
      </c>
      <c r="AI29" s="29">
        <v>6269</v>
      </c>
      <c r="AJ29" s="29">
        <v>7</v>
      </c>
      <c r="AK29" s="29">
        <v>1620</v>
      </c>
      <c r="AL29" s="29">
        <v>16023</v>
      </c>
      <c r="AM29" s="29">
        <v>0</v>
      </c>
      <c r="AN29" s="29">
        <v>874</v>
      </c>
      <c r="AO29" s="22">
        <v>72338</v>
      </c>
      <c r="AP29" s="55">
        <v>0</v>
      </c>
      <c r="AQ29" s="21">
        <v>7734</v>
      </c>
      <c r="AR29" s="21">
        <v>13276</v>
      </c>
      <c r="AS29" s="21">
        <v>0</v>
      </c>
      <c r="AT29" s="21">
        <v>0</v>
      </c>
      <c r="AU29" s="21">
        <v>0</v>
      </c>
      <c r="AV29" s="22">
        <v>21010</v>
      </c>
      <c r="AW29" s="22">
        <v>93348</v>
      </c>
      <c r="AX29" s="22">
        <v>217</v>
      </c>
      <c r="AY29" s="22">
        <v>217</v>
      </c>
      <c r="AZ29" s="22">
        <v>12451</v>
      </c>
      <c r="BA29" s="22">
        <v>12668</v>
      </c>
      <c r="BB29" s="22">
        <v>33678</v>
      </c>
      <c r="BC29" s="22">
        <v>106016</v>
      </c>
      <c r="BD29" s="21">
        <v>-2</v>
      </c>
      <c r="BE29" s="21">
        <v>0</v>
      </c>
      <c r="BF29" s="21">
        <v>0</v>
      </c>
      <c r="BG29" s="22">
        <v>-2</v>
      </c>
      <c r="BH29" s="22">
        <v>-6459</v>
      </c>
      <c r="BI29" s="22">
        <v>-6461</v>
      </c>
      <c r="BJ29" s="22">
        <v>27217</v>
      </c>
      <c r="BK29" s="23">
        <v>99555</v>
      </c>
    </row>
    <row r="30" spans="1:63">
      <c r="A30" s="10">
        <v>25</v>
      </c>
      <c r="B30" s="10" t="s">
        <v>117</v>
      </c>
      <c r="C30" s="12" t="s">
        <v>67</v>
      </c>
      <c r="D30" s="29">
        <v>20990</v>
      </c>
      <c r="E30" s="29">
        <v>52</v>
      </c>
      <c r="F30" s="29">
        <v>46344</v>
      </c>
      <c r="G30" s="29">
        <v>1287</v>
      </c>
      <c r="H30" s="29">
        <v>9243</v>
      </c>
      <c r="I30" s="29">
        <v>6879</v>
      </c>
      <c r="J30" s="29">
        <v>184</v>
      </c>
      <c r="K30" s="29">
        <v>11440</v>
      </c>
      <c r="L30" s="29">
        <v>5436</v>
      </c>
      <c r="M30" s="29">
        <v>1259</v>
      </c>
      <c r="N30" s="29">
        <v>3353</v>
      </c>
      <c r="O30" s="29">
        <v>7662</v>
      </c>
      <c r="P30" s="29">
        <v>10362</v>
      </c>
      <c r="Q30" s="29">
        <v>22105</v>
      </c>
      <c r="R30" s="29">
        <v>10489</v>
      </c>
      <c r="S30" s="29">
        <v>26582</v>
      </c>
      <c r="T30" s="29">
        <v>13476</v>
      </c>
      <c r="U30" s="29">
        <v>21698</v>
      </c>
      <c r="V30" s="29">
        <v>16992</v>
      </c>
      <c r="W30" s="29">
        <v>13169</v>
      </c>
      <c r="X30" s="29">
        <v>54948</v>
      </c>
      <c r="Y30" s="29">
        <v>567</v>
      </c>
      <c r="Z30" s="29">
        <v>1844</v>
      </c>
      <c r="AA30" s="29">
        <v>1771</v>
      </c>
      <c r="AB30" s="29">
        <v>11139</v>
      </c>
      <c r="AC30" s="29">
        <v>2585</v>
      </c>
      <c r="AD30" s="29">
        <v>1474</v>
      </c>
      <c r="AE30" s="29">
        <v>24428</v>
      </c>
      <c r="AF30" s="29">
        <v>4328</v>
      </c>
      <c r="AG30" s="29">
        <v>5629</v>
      </c>
      <c r="AH30" s="29">
        <v>12174</v>
      </c>
      <c r="AI30" s="29">
        <v>50349</v>
      </c>
      <c r="AJ30" s="29">
        <v>4516</v>
      </c>
      <c r="AK30" s="29">
        <v>17760</v>
      </c>
      <c r="AL30" s="29">
        <v>38986</v>
      </c>
      <c r="AM30" s="29">
        <v>5552</v>
      </c>
      <c r="AN30" s="29">
        <v>283</v>
      </c>
      <c r="AO30" s="22">
        <v>487335</v>
      </c>
      <c r="AP30" s="55">
        <v>25036</v>
      </c>
      <c r="AQ30" s="21">
        <v>627445</v>
      </c>
      <c r="AR30" s="21">
        <v>171</v>
      </c>
      <c r="AS30" s="21">
        <v>11425</v>
      </c>
      <c r="AT30" s="21">
        <v>143497</v>
      </c>
      <c r="AU30" s="21">
        <v>2828</v>
      </c>
      <c r="AV30" s="22">
        <v>810402</v>
      </c>
      <c r="AW30" s="22">
        <v>1297737</v>
      </c>
      <c r="AX30" s="22">
        <v>38152</v>
      </c>
      <c r="AY30" s="22">
        <v>38152</v>
      </c>
      <c r="AZ30" s="22">
        <v>286336</v>
      </c>
      <c r="BA30" s="22">
        <v>324488</v>
      </c>
      <c r="BB30" s="22">
        <v>1134890</v>
      </c>
      <c r="BC30" s="22">
        <v>1622225</v>
      </c>
      <c r="BD30" s="21">
        <v>-2495</v>
      </c>
      <c r="BE30" s="21">
        <v>0</v>
      </c>
      <c r="BF30" s="21">
        <v>0</v>
      </c>
      <c r="BG30" s="22">
        <v>-2495</v>
      </c>
      <c r="BH30" s="22">
        <v>-459699</v>
      </c>
      <c r="BI30" s="22">
        <v>-462194</v>
      </c>
      <c r="BJ30" s="22">
        <v>672696</v>
      </c>
      <c r="BK30" s="23">
        <v>1160031</v>
      </c>
    </row>
    <row r="31" spans="1:63">
      <c r="A31" s="10">
        <v>26</v>
      </c>
      <c r="B31" s="10" t="s">
        <v>118</v>
      </c>
      <c r="C31" s="12" t="s">
        <v>68</v>
      </c>
      <c r="D31" s="29">
        <v>2257</v>
      </c>
      <c r="E31" s="29">
        <v>257</v>
      </c>
      <c r="F31" s="29">
        <v>4337</v>
      </c>
      <c r="G31" s="29">
        <v>258</v>
      </c>
      <c r="H31" s="29">
        <v>1226</v>
      </c>
      <c r="I31" s="29">
        <v>1373</v>
      </c>
      <c r="J31" s="29">
        <v>13</v>
      </c>
      <c r="K31" s="29">
        <v>882</v>
      </c>
      <c r="L31" s="29">
        <v>1611</v>
      </c>
      <c r="M31" s="29">
        <v>267</v>
      </c>
      <c r="N31" s="29">
        <v>1194</v>
      </c>
      <c r="O31" s="29">
        <v>2978</v>
      </c>
      <c r="P31" s="29">
        <v>1832</v>
      </c>
      <c r="Q31" s="29">
        <v>4371</v>
      </c>
      <c r="R31" s="29">
        <v>2764</v>
      </c>
      <c r="S31" s="29">
        <v>4470</v>
      </c>
      <c r="T31" s="29">
        <v>1971</v>
      </c>
      <c r="U31" s="29">
        <v>2534</v>
      </c>
      <c r="V31" s="29">
        <v>2197</v>
      </c>
      <c r="W31" s="29">
        <v>3727</v>
      </c>
      <c r="X31" s="29">
        <v>12914</v>
      </c>
      <c r="Y31" s="29">
        <v>7532</v>
      </c>
      <c r="Z31" s="29">
        <v>1760</v>
      </c>
      <c r="AA31" s="29">
        <v>2780</v>
      </c>
      <c r="AB31" s="29">
        <v>21535</v>
      </c>
      <c r="AC31" s="29">
        <v>38420</v>
      </c>
      <c r="AD31" s="29">
        <v>96309</v>
      </c>
      <c r="AE31" s="29">
        <v>18000</v>
      </c>
      <c r="AF31" s="29">
        <v>3376</v>
      </c>
      <c r="AG31" s="29">
        <v>9245</v>
      </c>
      <c r="AH31" s="29">
        <v>6146</v>
      </c>
      <c r="AI31" s="29">
        <v>10252</v>
      </c>
      <c r="AJ31" s="29">
        <v>3103</v>
      </c>
      <c r="AK31" s="29">
        <v>9797</v>
      </c>
      <c r="AL31" s="29">
        <v>8903</v>
      </c>
      <c r="AM31" s="29">
        <v>0</v>
      </c>
      <c r="AN31" s="29">
        <v>2407</v>
      </c>
      <c r="AO31" s="22">
        <v>292998</v>
      </c>
      <c r="AP31" s="55">
        <v>4</v>
      </c>
      <c r="AQ31" s="21">
        <v>221556</v>
      </c>
      <c r="AR31" s="21">
        <v>0</v>
      </c>
      <c r="AS31" s="21">
        <v>0</v>
      </c>
      <c r="AT31" s="21">
        <v>0</v>
      </c>
      <c r="AU31" s="21">
        <v>0</v>
      </c>
      <c r="AV31" s="22">
        <v>221560</v>
      </c>
      <c r="AW31" s="22">
        <v>514558</v>
      </c>
      <c r="AX31" s="22">
        <v>27216</v>
      </c>
      <c r="AY31" s="22">
        <v>27216</v>
      </c>
      <c r="AZ31" s="22">
        <v>11589</v>
      </c>
      <c r="BA31" s="22">
        <v>38805</v>
      </c>
      <c r="BB31" s="22">
        <v>260365</v>
      </c>
      <c r="BC31" s="22">
        <v>553363</v>
      </c>
      <c r="BD31" s="21">
        <v>-30857</v>
      </c>
      <c r="BE31" s="21">
        <v>0</v>
      </c>
      <c r="BF31" s="21">
        <v>0</v>
      </c>
      <c r="BG31" s="22">
        <v>-30857</v>
      </c>
      <c r="BH31" s="22">
        <v>-32490</v>
      </c>
      <c r="BI31" s="22">
        <v>-63347</v>
      </c>
      <c r="BJ31" s="22">
        <v>197018</v>
      </c>
      <c r="BK31" s="23">
        <v>490016</v>
      </c>
    </row>
    <row r="32" spans="1:63">
      <c r="A32" s="10">
        <v>27</v>
      </c>
      <c r="B32" s="10" t="s">
        <v>119</v>
      </c>
      <c r="C32" s="12" t="s">
        <v>120</v>
      </c>
      <c r="D32" s="29">
        <v>260</v>
      </c>
      <c r="E32" s="29">
        <v>27</v>
      </c>
      <c r="F32" s="29">
        <v>2388</v>
      </c>
      <c r="G32" s="29">
        <v>80</v>
      </c>
      <c r="H32" s="29">
        <v>294</v>
      </c>
      <c r="I32" s="29">
        <v>686</v>
      </c>
      <c r="J32" s="29">
        <v>16</v>
      </c>
      <c r="K32" s="29">
        <v>862</v>
      </c>
      <c r="L32" s="29">
        <v>619</v>
      </c>
      <c r="M32" s="29">
        <v>70</v>
      </c>
      <c r="N32" s="29">
        <v>199</v>
      </c>
      <c r="O32" s="29">
        <v>1437</v>
      </c>
      <c r="P32" s="29">
        <v>1175</v>
      </c>
      <c r="Q32" s="29">
        <v>1640</v>
      </c>
      <c r="R32" s="29">
        <v>654</v>
      </c>
      <c r="S32" s="29">
        <v>1182</v>
      </c>
      <c r="T32" s="29">
        <v>781</v>
      </c>
      <c r="U32" s="29">
        <v>1056</v>
      </c>
      <c r="V32" s="29">
        <v>337</v>
      </c>
      <c r="W32" s="29">
        <v>647</v>
      </c>
      <c r="X32" s="29">
        <v>5856</v>
      </c>
      <c r="Y32" s="29">
        <v>3481</v>
      </c>
      <c r="Z32" s="29">
        <v>108</v>
      </c>
      <c r="AA32" s="29">
        <v>160</v>
      </c>
      <c r="AB32" s="29">
        <v>42049</v>
      </c>
      <c r="AC32" s="29">
        <v>8964</v>
      </c>
      <c r="AD32" s="29">
        <v>47226</v>
      </c>
      <c r="AE32" s="29">
        <v>13925</v>
      </c>
      <c r="AF32" s="29">
        <v>10211</v>
      </c>
      <c r="AG32" s="29">
        <v>2088</v>
      </c>
      <c r="AH32" s="29">
        <v>6042</v>
      </c>
      <c r="AI32" s="29">
        <v>20261</v>
      </c>
      <c r="AJ32" s="29">
        <v>2189</v>
      </c>
      <c r="AK32" s="29">
        <v>9927</v>
      </c>
      <c r="AL32" s="29">
        <v>20907</v>
      </c>
      <c r="AM32" s="29">
        <v>0</v>
      </c>
      <c r="AN32" s="29">
        <v>1329</v>
      </c>
      <c r="AO32" s="22">
        <v>209133</v>
      </c>
      <c r="AP32" s="55">
        <v>0</v>
      </c>
      <c r="AQ32" s="21">
        <v>1034083</v>
      </c>
      <c r="AR32" s="21">
        <v>25</v>
      </c>
      <c r="AS32" s="21">
        <v>0</v>
      </c>
      <c r="AT32" s="21">
        <v>25970</v>
      </c>
      <c r="AU32" s="21">
        <v>0</v>
      </c>
      <c r="AV32" s="22">
        <v>1060078</v>
      </c>
      <c r="AW32" s="22">
        <v>1269211</v>
      </c>
      <c r="AX32" s="22">
        <v>255</v>
      </c>
      <c r="AY32" s="22">
        <v>255</v>
      </c>
      <c r="AZ32" s="22">
        <v>1100</v>
      </c>
      <c r="BA32" s="22">
        <v>1355</v>
      </c>
      <c r="BB32" s="22">
        <v>1061433</v>
      </c>
      <c r="BC32" s="22">
        <v>1270566</v>
      </c>
      <c r="BD32" s="21">
        <v>-16</v>
      </c>
      <c r="BE32" s="21">
        <v>0</v>
      </c>
      <c r="BF32" s="21">
        <v>0</v>
      </c>
      <c r="BG32" s="22">
        <v>-16</v>
      </c>
      <c r="BH32" s="22">
        <v>-11629</v>
      </c>
      <c r="BI32" s="22">
        <v>-11645</v>
      </c>
      <c r="BJ32" s="22">
        <v>1049788</v>
      </c>
      <c r="BK32" s="23">
        <v>1258921</v>
      </c>
    </row>
    <row r="33" spans="1:63">
      <c r="A33" s="10">
        <v>28</v>
      </c>
      <c r="B33" s="10" t="s">
        <v>121</v>
      </c>
      <c r="C33" s="12" t="s">
        <v>218</v>
      </c>
      <c r="D33" s="29">
        <v>37057</v>
      </c>
      <c r="E33" s="29">
        <v>1696</v>
      </c>
      <c r="F33" s="29">
        <v>28286</v>
      </c>
      <c r="G33" s="29">
        <v>517</v>
      </c>
      <c r="H33" s="29">
        <v>6357</v>
      </c>
      <c r="I33" s="29">
        <v>3479</v>
      </c>
      <c r="J33" s="29">
        <v>574</v>
      </c>
      <c r="K33" s="29">
        <v>3630</v>
      </c>
      <c r="L33" s="29">
        <v>11350</v>
      </c>
      <c r="M33" s="29">
        <v>1510</v>
      </c>
      <c r="N33" s="29">
        <v>3163</v>
      </c>
      <c r="O33" s="29">
        <v>8857</v>
      </c>
      <c r="P33" s="29">
        <v>6813</v>
      </c>
      <c r="Q33" s="29">
        <v>12800</v>
      </c>
      <c r="R33" s="29">
        <v>6686</v>
      </c>
      <c r="S33" s="29">
        <v>9777</v>
      </c>
      <c r="T33" s="29">
        <v>5272</v>
      </c>
      <c r="U33" s="29">
        <v>9321</v>
      </c>
      <c r="V33" s="29">
        <v>5753</v>
      </c>
      <c r="W33" s="29">
        <v>16222</v>
      </c>
      <c r="X33" s="29">
        <v>59584</v>
      </c>
      <c r="Y33" s="29">
        <v>4142</v>
      </c>
      <c r="Z33" s="29">
        <v>2683</v>
      </c>
      <c r="AA33" s="29">
        <v>8834</v>
      </c>
      <c r="AB33" s="29">
        <v>75606</v>
      </c>
      <c r="AC33" s="29">
        <v>18433</v>
      </c>
      <c r="AD33" s="29">
        <v>3727</v>
      </c>
      <c r="AE33" s="29">
        <v>46774</v>
      </c>
      <c r="AF33" s="29">
        <v>13289</v>
      </c>
      <c r="AG33" s="29">
        <v>23710</v>
      </c>
      <c r="AH33" s="29">
        <v>22559</v>
      </c>
      <c r="AI33" s="29">
        <v>23274</v>
      </c>
      <c r="AJ33" s="29">
        <v>5659</v>
      </c>
      <c r="AK33" s="29">
        <v>16179</v>
      </c>
      <c r="AL33" s="29">
        <v>34762</v>
      </c>
      <c r="AM33" s="29">
        <v>1431</v>
      </c>
      <c r="AN33" s="29">
        <v>3738.0000000000582</v>
      </c>
      <c r="AO33" s="22">
        <v>543504</v>
      </c>
      <c r="AP33" s="55">
        <v>5622</v>
      </c>
      <c r="AQ33" s="21">
        <v>115402</v>
      </c>
      <c r="AR33" s="21">
        <v>578</v>
      </c>
      <c r="AS33" s="21">
        <v>1368</v>
      </c>
      <c r="AT33" s="21">
        <v>12805</v>
      </c>
      <c r="AU33" s="21">
        <v>939</v>
      </c>
      <c r="AV33" s="22">
        <v>136714</v>
      </c>
      <c r="AW33" s="22">
        <v>680218</v>
      </c>
      <c r="AX33" s="22">
        <v>17356</v>
      </c>
      <c r="AY33" s="22">
        <v>17356</v>
      </c>
      <c r="AZ33" s="22">
        <v>76027</v>
      </c>
      <c r="BA33" s="22">
        <v>93383</v>
      </c>
      <c r="BB33" s="22">
        <v>230097</v>
      </c>
      <c r="BC33" s="22">
        <v>773601</v>
      </c>
      <c r="BD33" s="21">
        <v>-5247</v>
      </c>
      <c r="BE33" s="21">
        <v>0</v>
      </c>
      <c r="BF33" s="21">
        <v>0</v>
      </c>
      <c r="BG33" s="22">
        <v>-5247</v>
      </c>
      <c r="BH33" s="22">
        <v>-143607</v>
      </c>
      <c r="BI33" s="22">
        <v>-148854</v>
      </c>
      <c r="BJ33" s="22">
        <v>81243</v>
      </c>
      <c r="BK33" s="23">
        <v>624747</v>
      </c>
    </row>
    <row r="34" spans="1:63">
      <c r="A34" s="10">
        <v>29</v>
      </c>
      <c r="B34" s="10" t="s">
        <v>123</v>
      </c>
      <c r="C34" s="12" t="s">
        <v>219</v>
      </c>
      <c r="D34" s="29">
        <v>1433</v>
      </c>
      <c r="E34" s="29">
        <v>13</v>
      </c>
      <c r="F34" s="29">
        <v>3464</v>
      </c>
      <c r="G34" s="29">
        <v>69</v>
      </c>
      <c r="H34" s="29">
        <v>416</v>
      </c>
      <c r="I34" s="29">
        <v>2180</v>
      </c>
      <c r="J34" s="29">
        <v>30</v>
      </c>
      <c r="K34" s="29">
        <v>723</v>
      </c>
      <c r="L34" s="29">
        <v>822</v>
      </c>
      <c r="M34" s="29">
        <v>158</v>
      </c>
      <c r="N34" s="29">
        <v>221</v>
      </c>
      <c r="O34" s="29">
        <v>2300</v>
      </c>
      <c r="P34" s="29">
        <v>2187</v>
      </c>
      <c r="Q34" s="29">
        <v>5174</v>
      </c>
      <c r="R34" s="29">
        <v>1160</v>
      </c>
      <c r="S34" s="29">
        <v>3693</v>
      </c>
      <c r="T34" s="29">
        <v>3049</v>
      </c>
      <c r="U34" s="29">
        <v>9759</v>
      </c>
      <c r="V34" s="29">
        <v>867</v>
      </c>
      <c r="W34" s="29">
        <v>844</v>
      </c>
      <c r="X34" s="29">
        <v>9557</v>
      </c>
      <c r="Y34" s="29">
        <v>4001</v>
      </c>
      <c r="Z34" s="29">
        <v>3536</v>
      </c>
      <c r="AA34" s="29">
        <v>976</v>
      </c>
      <c r="AB34" s="29">
        <v>48548</v>
      </c>
      <c r="AC34" s="29">
        <v>27911</v>
      </c>
      <c r="AD34" s="29">
        <v>2698</v>
      </c>
      <c r="AE34" s="29">
        <v>4765</v>
      </c>
      <c r="AF34" s="29">
        <v>97734</v>
      </c>
      <c r="AG34" s="29">
        <v>17164</v>
      </c>
      <c r="AH34" s="29">
        <v>21334</v>
      </c>
      <c r="AI34" s="29">
        <v>15421</v>
      </c>
      <c r="AJ34" s="29">
        <v>8106</v>
      </c>
      <c r="AK34" s="29">
        <v>50168</v>
      </c>
      <c r="AL34" s="29">
        <v>14478</v>
      </c>
      <c r="AM34" s="29">
        <v>0</v>
      </c>
      <c r="AN34" s="29">
        <v>3022</v>
      </c>
      <c r="AO34" s="22">
        <v>367981</v>
      </c>
      <c r="AP34" s="55">
        <v>2771</v>
      </c>
      <c r="AQ34" s="21">
        <v>240888</v>
      </c>
      <c r="AR34" s="21">
        <v>400</v>
      </c>
      <c r="AS34" s="21">
        <v>25443</v>
      </c>
      <c r="AT34" s="21">
        <v>168183</v>
      </c>
      <c r="AU34" s="21">
        <v>-535</v>
      </c>
      <c r="AV34" s="22">
        <v>437150</v>
      </c>
      <c r="AW34" s="22">
        <v>805131</v>
      </c>
      <c r="AX34" s="22">
        <v>7194</v>
      </c>
      <c r="AY34" s="22">
        <v>7194</v>
      </c>
      <c r="AZ34" s="22">
        <v>71651</v>
      </c>
      <c r="BA34" s="22">
        <v>78845</v>
      </c>
      <c r="BB34" s="22">
        <v>515995</v>
      </c>
      <c r="BC34" s="22">
        <v>883976</v>
      </c>
      <c r="BD34" s="21">
        <v>-53664</v>
      </c>
      <c r="BE34" s="21">
        <v>0</v>
      </c>
      <c r="BF34" s="21">
        <v>-66</v>
      </c>
      <c r="BG34" s="22">
        <v>-53730</v>
      </c>
      <c r="BH34" s="22">
        <v>-337971</v>
      </c>
      <c r="BI34" s="22">
        <v>-391701</v>
      </c>
      <c r="BJ34" s="22">
        <v>124294</v>
      </c>
      <c r="BK34" s="23">
        <v>492275</v>
      </c>
    </row>
    <row r="35" spans="1:63">
      <c r="A35" s="10">
        <v>30</v>
      </c>
      <c r="B35" s="10" t="s">
        <v>125</v>
      </c>
      <c r="C35" s="12" t="s">
        <v>69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7059</v>
      </c>
      <c r="AO35" s="22">
        <v>7059</v>
      </c>
      <c r="AP35" s="55">
        <v>0</v>
      </c>
      <c r="AQ35" s="21">
        <v>20829</v>
      </c>
      <c r="AR35" s="21">
        <v>602317</v>
      </c>
      <c r="AS35" s="21">
        <v>0</v>
      </c>
      <c r="AT35" s="21">
        <v>0</v>
      </c>
      <c r="AU35" s="21">
        <v>0</v>
      </c>
      <c r="AV35" s="22">
        <v>623146</v>
      </c>
      <c r="AW35" s="22">
        <v>630205</v>
      </c>
      <c r="AX35" s="22">
        <v>0</v>
      </c>
      <c r="AY35" s="22">
        <v>0</v>
      </c>
      <c r="AZ35" s="22">
        <v>0</v>
      </c>
      <c r="BA35" s="22">
        <v>0</v>
      </c>
      <c r="BB35" s="22">
        <v>623146</v>
      </c>
      <c r="BC35" s="22">
        <v>630205</v>
      </c>
      <c r="BD35" s="21">
        <v>0</v>
      </c>
      <c r="BE35" s="21">
        <v>0</v>
      </c>
      <c r="BF35" s="21">
        <v>0</v>
      </c>
      <c r="BG35" s="22">
        <v>0</v>
      </c>
      <c r="BH35" s="22">
        <v>0</v>
      </c>
      <c r="BI35" s="22">
        <v>0</v>
      </c>
      <c r="BJ35" s="22">
        <v>623146</v>
      </c>
      <c r="BK35" s="23">
        <v>630205</v>
      </c>
    </row>
    <row r="36" spans="1:63">
      <c r="A36" s="10">
        <v>31</v>
      </c>
      <c r="B36" s="10" t="s">
        <v>126</v>
      </c>
      <c r="C36" s="12" t="s">
        <v>127</v>
      </c>
      <c r="D36" s="29">
        <v>8</v>
      </c>
      <c r="E36" s="29">
        <v>0</v>
      </c>
      <c r="F36" s="29">
        <v>223</v>
      </c>
      <c r="G36" s="29">
        <v>0</v>
      </c>
      <c r="H36" s="29">
        <v>8</v>
      </c>
      <c r="I36" s="29">
        <v>42</v>
      </c>
      <c r="J36" s="29">
        <v>0</v>
      </c>
      <c r="K36" s="29">
        <v>36</v>
      </c>
      <c r="L36" s="29">
        <v>58</v>
      </c>
      <c r="M36" s="29">
        <v>11</v>
      </c>
      <c r="N36" s="29">
        <v>6</v>
      </c>
      <c r="O36" s="29">
        <v>164</v>
      </c>
      <c r="P36" s="29">
        <v>210</v>
      </c>
      <c r="Q36" s="29">
        <v>218</v>
      </c>
      <c r="R36" s="29">
        <v>64</v>
      </c>
      <c r="S36" s="29">
        <v>984</v>
      </c>
      <c r="T36" s="29">
        <v>376</v>
      </c>
      <c r="U36" s="29">
        <v>959</v>
      </c>
      <c r="V36" s="29">
        <v>128</v>
      </c>
      <c r="W36" s="29">
        <v>31</v>
      </c>
      <c r="X36" s="29">
        <v>193</v>
      </c>
      <c r="Y36" s="29">
        <v>285</v>
      </c>
      <c r="Z36" s="29">
        <v>11</v>
      </c>
      <c r="AA36" s="29">
        <v>24</v>
      </c>
      <c r="AB36" s="29">
        <v>266</v>
      </c>
      <c r="AC36" s="29">
        <v>98</v>
      </c>
      <c r="AD36" s="29">
        <v>1</v>
      </c>
      <c r="AE36" s="29">
        <v>407</v>
      </c>
      <c r="AF36" s="29">
        <v>2513</v>
      </c>
      <c r="AG36" s="29">
        <v>51</v>
      </c>
      <c r="AH36" s="29">
        <v>1</v>
      </c>
      <c r="AI36" s="29">
        <v>105</v>
      </c>
      <c r="AJ36" s="29">
        <v>0</v>
      </c>
      <c r="AK36" s="29">
        <v>412</v>
      </c>
      <c r="AL36" s="29">
        <v>320</v>
      </c>
      <c r="AM36" s="29">
        <v>0</v>
      </c>
      <c r="AN36" s="29">
        <v>171</v>
      </c>
      <c r="AO36" s="22">
        <v>8384</v>
      </c>
      <c r="AP36" s="55">
        <v>1</v>
      </c>
      <c r="AQ36" s="21">
        <v>68725</v>
      </c>
      <c r="AR36" s="21">
        <v>337292</v>
      </c>
      <c r="AS36" s="21">
        <v>44911</v>
      </c>
      <c r="AT36" s="21">
        <v>400983</v>
      </c>
      <c r="AU36" s="21">
        <v>0</v>
      </c>
      <c r="AV36" s="22">
        <v>851912</v>
      </c>
      <c r="AW36" s="22">
        <v>860296</v>
      </c>
      <c r="AX36" s="22">
        <v>11163</v>
      </c>
      <c r="AY36" s="22">
        <v>11163</v>
      </c>
      <c r="AZ36" s="22">
        <v>6104</v>
      </c>
      <c r="BA36" s="22">
        <v>17267</v>
      </c>
      <c r="BB36" s="22">
        <v>869179</v>
      </c>
      <c r="BC36" s="22">
        <v>877563</v>
      </c>
      <c r="BD36" s="21">
        <v>-46355</v>
      </c>
      <c r="BE36" s="21">
        <v>0</v>
      </c>
      <c r="BF36" s="21">
        <v>0</v>
      </c>
      <c r="BG36" s="22">
        <v>-46355</v>
      </c>
      <c r="BH36" s="22">
        <v>-172967</v>
      </c>
      <c r="BI36" s="22">
        <v>-219322</v>
      </c>
      <c r="BJ36" s="22">
        <v>649857</v>
      </c>
      <c r="BK36" s="23">
        <v>658241</v>
      </c>
    </row>
    <row r="37" spans="1:63">
      <c r="A37" s="10">
        <v>32</v>
      </c>
      <c r="B37" s="10" t="s">
        <v>128</v>
      </c>
      <c r="C37" s="12" t="s">
        <v>220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1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5</v>
      </c>
      <c r="AA37" s="29">
        <v>0</v>
      </c>
      <c r="AB37" s="29">
        <v>11</v>
      </c>
      <c r="AC37" s="29">
        <v>24</v>
      </c>
      <c r="AD37" s="29">
        <v>5</v>
      </c>
      <c r="AE37" s="29">
        <v>108</v>
      </c>
      <c r="AF37" s="29">
        <v>91</v>
      </c>
      <c r="AG37" s="29">
        <v>5</v>
      </c>
      <c r="AH37" s="29">
        <v>6</v>
      </c>
      <c r="AI37" s="29">
        <v>13978</v>
      </c>
      <c r="AJ37" s="29">
        <v>0</v>
      </c>
      <c r="AK37" s="29">
        <v>9</v>
      </c>
      <c r="AL37" s="29">
        <v>69</v>
      </c>
      <c r="AM37" s="29">
        <v>0</v>
      </c>
      <c r="AN37" s="29">
        <v>4</v>
      </c>
      <c r="AO37" s="22">
        <v>14316</v>
      </c>
      <c r="AP37" s="55">
        <v>9623</v>
      </c>
      <c r="AQ37" s="21">
        <v>235207</v>
      </c>
      <c r="AR37" s="21">
        <v>978566</v>
      </c>
      <c r="AS37" s="21">
        <v>0</v>
      </c>
      <c r="AT37" s="21">
        <v>0</v>
      </c>
      <c r="AU37" s="21">
        <v>0</v>
      </c>
      <c r="AV37" s="22">
        <v>1223396</v>
      </c>
      <c r="AW37" s="22">
        <v>1237712</v>
      </c>
      <c r="AX37" s="22">
        <v>15</v>
      </c>
      <c r="AY37" s="22">
        <v>15</v>
      </c>
      <c r="AZ37" s="22">
        <v>6362</v>
      </c>
      <c r="BA37" s="22">
        <v>6377</v>
      </c>
      <c r="BB37" s="22">
        <v>1229773</v>
      </c>
      <c r="BC37" s="22">
        <v>1244089</v>
      </c>
      <c r="BD37" s="21">
        <v>-68</v>
      </c>
      <c r="BE37" s="21">
        <v>0</v>
      </c>
      <c r="BF37" s="21">
        <v>0</v>
      </c>
      <c r="BG37" s="22">
        <v>-68</v>
      </c>
      <c r="BH37" s="22">
        <v>-18122</v>
      </c>
      <c r="BI37" s="22">
        <v>-18190</v>
      </c>
      <c r="BJ37" s="22">
        <v>1211583</v>
      </c>
      <c r="BK37" s="23">
        <v>1225899</v>
      </c>
    </row>
    <row r="38" spans="1:63">
      <c r="A38" s="10">
        <v>33</v>
      </c>
      <c r="B38" s="10" t="s">
        <v>130</v>
      </c>
      <c r="C38" s="12" t="s">
        <v>221</v>
      </c>
      <c r="D38" s="29">
        <v>1485</v>
      </c>
      <c r="E38" s="29">
        <v>16</v>
      </c>
      <c r="F38" s="29">
        <v>2008</v>
      </c>
      <c r="G38" s="29">
        <v>36</v>
      </c>
      <c r="H38" s="29">
        <v>116</v>
      </c>
      <c r="I38" s="29">
        <v>420</v>
      </c>
      <c r="J38" s="29">
        <v>7</v>
      </c>
      <c r="K38" s="29">
        <v>172</v>
      </c>
      <c r="L38" s="29">
        <v>235</v>
      </c>
      <c r="M38" s="29">
        <v>27</v>
      </c>
      <c r="N38" s="29">
        <v>228</v>
      </c>
      <c r="O38" s="29">
        <v>147</v>
      </c>
      <c r="P38" s="29">
        <v>1453</v>
      </c>
      <c r="Q38" s="29">
        <v>483</v>
      </c>
      <c r="R38" s="29">
        <v>189</v>
      </c>
      <c r="S38" s="29">
        <v>535</v>
      </c>
      <c r="T38" s="29">
        <v>219</v>
      </c>
      <c r="U38" s="29">
        <v>236</v>
      </c>
      <c r="V38" s="29">
        <v>61</v>
      </c>
      <c r="W38" s="29">
        <v>224</v>
      </c>
      <c r="X38" s="29">
        <v>1951</v>
      </c>
      <c r="Y38" s="29">
        <v>1283</v>
      </c>
      <c r="Z38" s="29">
        <v>1549</v>
      </c>
      <c r="AA38" s="29">
        <v>374</v>
      </c>
      <c r="AB38" s="29">
        <v>1455</v>
      </c>
      <c r="AC38" s="29">
        <v>3156</v>
      </c>
      <c r="AD38" s="29">
        <v>389</v>
      </c>
      <c r="AE38" s="29">
        <v>1446</v>
      </c>
      <c r="AF38" s="29">
        <v>1191</v>
      </c>
      <c r="AG38" s="29">
        <v>2</v>
      </c>
      <c r="AH38" s="29">
        <v>2671</v>
      </c>
      <c r="AI38" s="29">
        <v>2206</v>
      </c>
      <c r="AJ38" s="29">
        <v>0</v>
      </c>
      <c r="AK38" s="29">
        <v>3333</v>
      </c>
      <c r="AL38" s="29">
        <v>2749</v>
      </c>
      <c r="AM38" s="29">
        <v>0</v>
      </c>
      <c r="AN38" s="29">
        <v>33</v>
      </c>
      <c r="AO38" s="22">
        <v>32085</v>
      </c>
      <c r="AP38" s="55">
        <v>0</v>
      </c>
      <c r="AQ38" s="21">
        <v>95631</v>
      </c>
      <c r="AR38" s="21">
        <v>0</v>
      </c>
      <c r="AS38" s="21">
        <v>0</v>
      </c>
      <c r="AT38" s="21">
        <v>0</v>
      </c>
      <c r="AU38" s="21">
        <v>0</v>
      </c>
      <c r="AV38" s="22">
        <v>95631</v>
      </c>
      <c r="AW38" s="22">
        <v>127716</v>
      </c>
      <c r="AX38" s="22">
        <v>784</v>
      </c>
      <c r="AY38" s="22">
        <v>784</v>
      </c>
      <c r="AZ38" s="22">
        <v>0</v>
      </c>
      <c r="BA38" s="22">
        <v>784</v>
      </c>
      <c r="BB38" s="22">
        <v>96415</v>
      </c>
      <c r="BC38" s="22">
        <v>128500</v>
      </c>
      <c r="BD38" s="21">
        <v>-1661</v>
      </c>
      <c r="BE38" s="21">
        <v>0</v>
      </c>
      <c r="BF38" s="21">
        <v>0</v>
      </c>
      <c r="BG38" s="22">
        <v>-1661</v>
      </c>
      <c r="BH38" s="22">
        <v>-1472</v>
      </c>
      <c r="BI38" s="22">
        <v>-3133</v>
      </c>
      <c r="BJ38" s="22">
        <v>93282</v>
      </c>
      <c r="BK38" s="23">
        <v>125367</v>
      </c>
    </row>
    <row r="39" spans="1:63">
      <c r="A39" s="10">
        <v>34</v>
      </c>
      <c r="B39" s="10" t="s">
        <v>131</v>
      </c>
      <c r="C39" s="12" t="s">
        <v>132</v>
      </c>
      <c r="D39" s="29">
        <v>8276</v>
      </c>
      <c r="E39" s="29">
        <v>122</v>
      </c>
      <c r="F39" s="29">
        <v>37006</v>
      </c>
      <c r="G39" s="29">
        <v>554</v>
      </c>
      <c r="H39" s="29">
        <v>2763</v>
      </c>
      <c r="I39" s="29">
        <v>10399</v>
      </c>
      <c r="J39" s="29">
        <v>269</v>
      </c>
      <c r="K39" s="29">
        <v>8450</v>
      </c>
      <c r="L39" s="29">
        <v>7885</v>
      </c>
      <c r="M39" s="29">
        <v>669</v>
      </c>
      <c r="N39" s="29">
        <v>2383</v>
      </c>
      <c r="O39" s="29">
        <v>8602</v>
      </c>
      <c r="P39" s="29">
        <v>12613</v>
      </c>
      <c r="Q39" s="29">
        <v>22369</v>
      </c>
      <c r="R39" s="29">
        <v>7834</v>
      </c>
      <c r="S39" s="29">
        <v>33296</v>
      </c>
      <c r="T39" s="29">
        <v>11917</v>
      </c>
      <c r="U39" s="29">
        <v>19277</v>
      </c>
      <c r="V39" s="29">
        <v>11174</v>
      </c>
      <c r="W39" s="29">
        <v>6085</v>
      </c>
      <c r="X39" s="29">
        <v>123395</v>
      </c>
      <c r="Y39" s="29">
        <v>54009</v>
      </c>
      <c r="Z39" s="29">
        <v>14979</v>
      </c>
      <c r="AA39" s="29">
        <v>6249</v>
      </c>
      <c r="AB39" s="29">
        <v>94323</v>
      </c>
      <c r="AC39" s="29">
        <v>59633</v>
      </c>
      <c r="AD39" s="29">
        <v>23994</v>
      </c>
      <c r="AE39" s="29">
        <v>129272</v>
      </c>
      <c r="AF39" s="29">
        <v>73047</v>
      </c>
      <c r="AG39" s="29">
        <v>53013</v>
      </c>
      <c r="AH39" s="29">
        <v>64009</v>
      </c>
      <c r="AI39" s="29">
        <v>60081</v>
      </c>
      <c r="AJ39" s="29">
        <v>9855</v>
      </c>
      <c r="AK39" s="29">
        <v>130765</v>
      </c>
      <c r="AL39" s="29">
        <v>23689</v>
      </c>
      <c r="AM39" s="29">
        <v>0</v>
      </c>
      <c r="AN39" s="29">
        <v>1967</v>
      </c>
      <c r="AO39" s="22">
        <v>1134223</v>
      </c>
      <c r="AP39" s="55">
        <v>1205</v>
      </c>
      <c r="AQ39" s="21">
        <v>69938</v>
      </c>
      <c r="AR39" s="21">
        <v>0</v>
      </c>
      <c r="AS39" s="21">
        <v>3574</v>
      </c>
      <c r="AT39" s="21">
        <v>28947</v>
      </c>
      <c r="AU39" s="21">
        <v>0</v>
      </c>
      <c r="AV39" s="22">
        <v>103664</v>
      </c>
      <c r="AW39" s="22">
        <v>1237887</v>
      </c>
      <c r="AX39" s="22">
        <v>32713</v>
      </c>
      <c r="AY39" s="22">
        <v>32713</v>
      </c>
      <c r="AZ39" s="22">
        <v>80378</v>
      </c>
      <c r="BA39" s="22">
        <v>113091</v>
      </c>
      <c r="BB39" s="22">
        <v>216755</v>
      </c>
      <c r="BC39" s="22">
        <v>1350978</v>
      </c>
      <c r="BD39" s="21">
        <v>-52953</v>
      </c>
      <c r="BE39" s="21">
        <v>0</v>
      </c>
      <c r="BF39" s="21">
        <v>0</v>
      </c>
      <c r="BG39" s="22">
        <v>-52953</v>
      </c>
      <c r="BH39" s="22">
        <v>-428591</v>
      </c>
      <c r="BI39" s="22">
        <v>-481544</v>
      </c>
      <c r="BJ39" s="22">
        <v>-264789</v>
      </c>
      <c r="BK39" s="23">
        <v>869434</v>
      </c>
    </row>
    <row r="40" spans="1:63">
      <c r="A40" s="10">
        <v>35</v>
      </c>
      <c r="B40" s="10" t="s">
        <v>133</v>
      </c>
      <c r="C40" s="12" t="s">
        <v>222</v>
      </c>
      <c r="D40" s="29">
        <v>250</v>
      </c>
      <c r="E40" s="29">
        <v>1</v>
      </c>
      <c r="F40" s="29">
        <v>295</v>
      </c>
      <c r="G40" s="29">
        <v>0</v>
      </c>
      <c r="H40" s="29">
        <v>9</v>
      </c>
      <c r="I40" s="29">
        <v>27</v>
      </c>
      <c r="J40" s="29">
        <v>0</v>
      </c>
      <c r="K40" s="29">
        <v>18</v>
      </c>
      <c r="L40" s="29">
        <v>60</v>
      </c>
      <c r="M40" s="29">
        <v>1</v>
      </c>
      <c r="N40" s="29">
        <v>6</v>
      </c>
      <c r="O40" s="29">
        <v>24</v>
      </c>
      <c r="P40" s="29">
        <v>48</v>
      </c>
      <c r="Q40" s="29">
        <v>67</v>
      </c>
      <c r="R40" s="29">
        <v>28</v>
      </c>
      <c r="S40" s="29">
        <v>196</v>
      </c>
      <c r="T40" s="29">
        <v>39</v>
      </c>
      <c r="U40" s="29">
        <v>91</v>
      </c>
      <c r="V40" s="29">
        <v>33</v>
      </c>
      <c r="W40" s="29">
        <v>41</v>
      </c>
      <c r="X40" s="29">
        <v>391</v>
      </c>
      <c r="Y40" s="29">
        <v>40</v>
      </c>
      <c r="Z40" s="29">
        <v>38</v>
      </c>
      <c r="AA40" s="29">
        <v>6</v>
      </c>
      <c r="AB40" s="29">
        <v>751</v>
      </c>
      <c r="AC40" s="29">
        <v>136</v>
      </c>
      <c r="AD40" s="29">
        <v>868</v>
      </c>
      <c r="AE40" s="29">
        <v>257</v>
      </c>
      <c r="AF40" s="29">
        <v>4802</v>
      </c>
      <c r="AG40" s="29">
        <v>253</v>
      </c>
      <c r="AH40" s="29">
        <v>7364</v>
      </c>
      <c r="AI40" s="29">
        <v>30679</v>
      </c>
      <c r="AJ40" s="29">
        <v>297</v>
      </c>
      <c r="AK40" s="29">
        <v>1813</v>
      </c>
      <c r="AL40" s="29">
        <v>7669</v>
      </c>
      <c r="AM40" s="29">
        <v>0</v>
      </c>
      <c r="AN40" s="29">
        <v>238</v>
      </c>
      <c r="AO40" s="22">
        <v>56836</v>
      </c>
      <c r="AP40" s="55">
        <v>72452</v>
      </c>
      <c r="AQ40" s="21">
        <v>445393</v>
      </c>
      <c r="AR40" s="21">
        <v>0</v>
      </c>
      <c r="AS40" s="21">
        <v>0</v>
      </c>
      <c r="AT40" s="21">
        <v>2746</v>
      </c>
      <c r="AU40" s="21">
        <v>0</v>
      </c>
      <c r="AV40" s="22">
        <v>520591</v>
      </c>
      <c r="AW40" s="22">
        <v>577427</v>
      </c>
      <c r="AX40" s="22">
        <v>17123</v>
      </c>
      <c r="AY40" s="22">
        <v>17123</v>
      </c>
      <c r="AZ40" s="22">
        <v>132132</v>
      </c>
      <c r="BA40" s="22">
        <v>149255</v>
      </c>
      <c r="BB40" s="22">
        <v>669846</v>
      </c>
      <c r="BC40" s="22">
        <v>726682</v>
      </c>
      <c r="BD40" s="21">
        <v>-5834</v>
      </c>
      <c r="BE40" s="21">
        <v>0</v>
      </c>
      <c r="BF40" s="21">
        <v>-28</v>
      </c>
      <c r="BG40" s="22">
        <v>-5862</v>
      </c>
      <c r="BH40" s="22">
        <v>-106116</v>
      </c>
      <c r="BI40" s="22">
        <v>-111978</v>
      </c>
      <c r="BJ40" s="22">
        <v>557868</v>
      </c>
      <c r="BK40" s="23">
        <v>614704</v>
      </c>
    </row>
    <row r="41" spans="1:63">
      <c r="A41" s="10">
        <v>36</v>
      </c>
      <c r="B41" s="10" t="s">
        <v>135</v>
      </c>
      <c r="C41" s="12" t="s">
        <v>223</v>
      </c>
      <c r="D41" s="29">
        <v>109</v>
      </c>
      <c r="E41" s="29">
        <v>3</v>
      </c>
      <c r="F41" s="29">
        <v>483</v>
      </c>
      <c r="G41" s="29">
        <v>17</v>
      </c>
      <c r="H41" s="29">
        <v>85</v>
      </c>
      <c r="I41" s="29">
        <v>100</v>
      </c>
      <c r="J41" s="29">
        <v>2</v>
      </c>
      <c r="K41" s="29">
        <v>27</v>
      </c>
      <c r="L41" s="29">
        <v>151</v>
      </c>
      <c r="M41" s="29">
        <v>14</v>
      </c>
      <c r="N41" s="29">
        <v>48</v>
      </c>
      <c r="O41" s="29">
        <v>189</v>
      </c>
      <c r="P41" s="29">
        <v>222</v>
      </c>
      <c r="Q41" s="29">
        <v>614</v>
      </c>
      <c r="R41" s="29">
        <v>156</v>
      </c>
      <c r="S41" s="29">
        <v>1637</v>
      </c>
      <c r="T41" s="29">
        <v>189</v>
      </c>
      <c r="U41" s="29">
        <v>407</v>
      </c>
      <c r="V41" s="29">
        <v>149</v>
      </c>
      <c r="W41" s="29">
        <v>292</v>
      </c>
      <c r="X41" s="29">
        <v>1060</v>
      </c>
      <c r="Y41" s="29">
        <v>34</v>
      </c>
      <c r="Z41" s="29">
        <v>94</v>
      </c>
      <c r="AA41" s="29">
        <v>285</v>
      </c>
      <c r="AB41" s="29">
        <v>2340</v>
      </c>
      <c r="AC41" s="29">
        <v>1615</v>
      </c>
      <c r="AD41" s="29">
        <v>323</v>
      </c>
      <c r="AE41" s="29">
        <v>1008</v>
      </c>
      <c r="AF41" s="29">
        <v>1011</v>
      </c>
      <c r="AG41" s="29">
        <v>1802</v>
      </c>
      <c r="AH41" s="29">
        <v>2639</v>
      </c>
      <c r="AI41" s="29">
        <v>3068</v>
      </c>
      <c r="AJ41" s="29">
        <v>579</v>
      </c>
      <c r="AK41" s="29">
        <v>1356</v>
      </c>
      <c r="AL41" s="29">
        <v>1120</v>
      </c>
      <c r="AM41" s="29">
        <v>0</v>
      </c>
      <c r="AN41" s="29">
        <v>19</v>
      </c>
      <c r="AO41" s="22">
        <v>23247</v>
      </c>
      <c r="AP41" s="55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2">
        <v>0</v>
      </c>
      <c r="AW41" s="22">
        <v>23247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23247</v>
      </c>
      <c r="BD41" s="21">
        <v>0</v>
      </c>
      <c r="BE41" s="21">
        <v>0</v>
      </c>
      <c r="BF41" s="21">
        <v>0</v>
      </c>
      <c r="BG41" s="22">
        <v>0</v>
      </c>
      <c r="BH41" s="22">
        <v>0</v>
      </c>
      <c r="BI41" s="22">
        <v>0</v>
      </c>
      <c r="BJ41" s="22">
        <v>0</v>
      </c>
      <c r="BK41" s="23">
        <v>23247</v>
      </c>
    </row>
    <row r="42" spans="1:63">
      <c r="A42" s="10">
        <v>37</v>
      </c>
      <c r="B42" s="10" t="s">
        <v>136</v>
      </c>
      <c r="C42" s="12" t="s">
        <v>224</v>
      </c>
      <c r="D42" s="29">
        <v>2657</v>
      </c>
      <c r="E42" s="29">
        <v>20</v>
      </c>
      <c r="F42" s="29">
        <v>1936</v>
      </c>
      <c r="G42" s="29">
        <v>41</v>
      </c>
      <c r="H42" s="29">
        <v>340</v>
      </c>
      <c r="I42" s="29">
        <v>114</v>
      </c>
      <c r="J42" s="29">
        <v>159</v>
      </c>
      <c r="K42" s="29">
        <v>320</v>
      </c>
      <c r="L42" s="29">
        <v>1595</v>
      </c>
      <c r="M42" s="29">
        <v>376</v>
      </c>
      <c r="N42" s="29">
        <v>408</v>
      </c>
      <c r="O42" s="29">
        <v>1161</v>
      </c>
      <c r="P42" s="29">
        <v>2226</v>
      </c>
      <c r="Q42" s="29">
        <v>3451</v>
      </c>
      <c r="R42" s="29">
        <v>550</v>
      </c>
      <c r="S42" s="29">
        <v>450</v>
      </c>
      <c r="T42" s="29">
        <v>418</v>
      </c>
      <c r="U42" s="29">
        <v>553</v>
      </c>
      <c r="V42" s="29">
        <v>369</v>
      </c>
      <c r="W42" s="29">
        <v>313</v>
      </c>
      <c r="X42" s="29">
        <v>15885</v>
      </c>
      <c r="Y42" s="29">
        <v>778</v>
      </c>
      <c r="Z42" s="29">
        <v>668</v>
      </c>
      <c r="AA42" s="29">
        <v>756</v>
      </c>
      <c r="AB42" s="29">
        <v>4874</v>
      </c>
      <c r="AC42" s="29">
        <v>5002</v>
      </c>
      <c r="AD42" s="29">
        <v>3268</v>
      </c>
      <c r="AE42" s="29">
        <v>740</v>
      </c>
      <c r="AF42" s="29">
        <v>2122</v>
      </c>
      <c r="AG42" s="29">
        <v>158</v>
      </c>
      <c r="AH42" s="29">
        <v>4278</v>
      </c>
      <c r="AI42" s="29">
        <v>3961</v>
      </c>
      <c r="AJ42" s="29">
        <v>1612</v>
      </c>
      <c r="AK42" s="29">
        <v>3774</v>
      </c>
      <c r="AL42" s="29">
        <v>4233</v>
      </c>
      <c r="AM42" s="29">
        <v>11</v>
      </c>
      <c r="AN42" s="29">
        <v>0</v>
      </c>
      <c r="AO42" s="22">
        <v>69577</v>
      </c>
      <c r="AP42" s="55">
        <v>0</v>
      </c>
      <c r="AQ42" s="21">
        <v>26</v>
      </c>
      <c r="AR42" s="21">
        <v>0</v>
      </c>
      <c r="AS42" s="21">
        <v>0</v>
      </c>
      <c r="AT42" s="21">
        <v>0</v>
      </c>
      <c r="AU42" s="21">
        <v>0</v>
      </c>
      <c r="AV42" s="22">
        <v>26</v>
      </c>
      <c r="AW42" s="22">
        <v>69603</v>
      </c>
      <c r="AX42" s="22">
        <v>25289</v>
      </c>
      <c r="AY42" s="22">
        <v>25289</v>
      </c>
      <c r="AZ42" s="22">
        <v>0</v>
      </c>
      <c r="BA42" s="22">
        <v>25289</v>
      </c>
      <c r="BB42" s="22">
        <v>25315</v>
      </c>
      <c r="BC42" s="22">
        <v>94892</v>
      </c>
      <c r="BD42" s="21">
        <v>-23085</v>
      </c>
      <c r="BE42" s="21">
        <v>-27</v>
      </c>
      <c r="BF42" s="21">
        <v>-2234</v>
      </c>
      <c r="BG42" s="22">
        <v>-25346</v>
      </c>
      <c r="BH42" s="22">
        <v>0</v>
      </c>
      <c r="BI42" s="22">
        <v>-25346</v>
      </c>
      <c r="BJ42" s="22">
        <v>-31</v>
      </c>
      <c r="BK42" s="23">
        <v>69546</v>
      </c>
    </row>
    <row r="43" spans="1:63">
      <c r="A43" s="10">
        <v>38</v>
      </c>
      <c r="B43" s="11" t="s">
        <v>137</v>
      </c>
      <c r="C43" s="13" t="s">
        <v>5</v>
      </c>
      <c r="D43" s="24">
        <v>183051</v>
      </c>
      <c r="E43" s="24">
        <v>2519</v>
      </c>
      <c r="F43" s="24">
        <v>459043</v>
      </c>
      <c r="G43" s="24">
        <v>8460</v>
      </c>
      <c r="H43" s="24">
        <v>75827</v>
      </c>
      <c r="I43" s="24">
        <v>79250</v>
      </c>
      <c r="J43" s="24">
        <v>4312</v>
      </c>
      <c r="K43" s="24">
        <v>113591</v>
      </c>
      <c r="L43" s="24">
        <v>74776</v>
      </c>
      <c r="M43" s="24">
        <v>19762</v>
      </c>
      <c r="N43" s="24">
        <v>79763</v>
      </c>
      <c r="O43" s="24">
        <v>131828</v>
      </c>
      <c r="P43" s="24">
        <v>151109</v>
      </c>
      <c r="Q43" s="24">
        <v>316105</v>
      </c>
      <c r="R43" s="24">
        <v>123270</v>
      </c>
      <c r="S43" s="24">
        <v>418801</v>
      </c>
      <c r="T43" s="24">
        <v>167252</v>
      </c>
      <c r="U43" s="24">
        <v>295053</v>
      </c>
      <c r="V43" s="24">
        <v>252727</v>
      </c>
      <c r="W43" s="24">
        <v>95460</v>
      </c>
      <c r="X43" s="24">
        <v>593077</v>
      </c>
      <c r="Y43" s="24">
        <v>134995</v>
      </c>
      <c r="Z43" s="24">
        <v>53434</v>
      </c>
      <c r="AA43" s="24">
        <v>36292</v>
      </c>
      <c r="AB43" s="24">
        <v>375750</v>
      </c>
      <c r="AC43" s="24">
        <v>184626</v>
      </c>
      <c r="AD43" s="24">
        <v>204980</v>
      </c>
      <c r="AE43" s="24">
        <v>355387</v>
      </c>
      <c r="AF43" s="24">
        <v>244601</v>
      </c>
      <c r="AG43" s="24">
        <v>173479</v>
      </c>
      <c r="AH43" s="24">
        <v>209940</v>
      </c>
      <c r="AI43" s="24">
        <v>491375</v>
      </c>
      <c r="AJ43" s="24">
        <v>49433</v>
      </c>
      <c r="AK43" s="24">
        <v>349260</v>
      </c>
      <c r="AL43" s="24">
        <v>298669</v>
      </c>
      <c r="AM43" s="24">
        <v>23247</v>
      </c>
      <c r="AN43" s="24">
        <v>24600.000000000058</v>
      </c>
      <c r="AO43" s="25">
        <v>6855104</v>
      </c>
      <c r="AP43" s="56">
        <v>142618</v>
      </c>
      <c r="AQ43" s="24">
        <v>4298372</v>
      </c>
      <c r="AR43" s="24">
        <v>1931700</v>
      </c>
      <c r="AS43" s="24">
        <v>590542</v>
      </c>
      <c r="AT43" s="24">
        <v>1964405</v>
      </c>
      <c r="AU43" s="24">
        <v>-48327</v>
      </c>
      <c r="AV43" s="25">
        <v>8879310</v>
      </c>
      <c r="AW43" s="25">
        <v>15734414</v>
      </c>
      <c r="AX43" s="25">
        <v>1356785</v>
      </c>
      <c r="AY43" s="25">
        <v>1356785</v>
      </c>
      <c r="AZ43" s="25">
        <v>3860508</v>
      </c>
      <c r="BA43" s="25">
        <v>5217293</v>
      </c>
      <c r="BB43" s="25">
        <v>14096603</v>
      </c>
      <c r="BC43" s="25">
        <v>20951707</v>
      </c>
      <c r="BD43" s="24">
        <v>-1163759</v>
      </c>
      <c r="BE43" s="24">
        <v>-12120</v>
      </c>
      <c r="BF43" s="24">
        <v>-113283</v>
      </c>
      <c r="BG43" s="25">
        <v>-1289162</v>
      </c>
      <c r="BH43" s="25">
        <v>-4791255</v>
      </c>
      <c r="BI43" s="25">
        <v>-6080417</v>
      </c>
      <c r="BJ43" s="25">
        <v>8016186</v>
      </c>
      <c r="BK43" s="26">
        <v>14871290</v>
      </c>
    </row>
    <row r="44" spans="1:63">
      <c r="A44" s="10">
        <v>39</v>
      </c>
      <c r="B44" s="2" t="s">
        <v>138</v>
      </c>
      <c r="C44" s="14" t="s">
        <v>20</v>
      </c>
      <c r="D44" s="27">
        <v>1118</v>
      </c>
      <c r="E44" s="27">
        <v>46</v>
      </c>
      <c r="F44" s="27">
        <v>4080</v>
      </c>
      <c r="G44" s="27">
        <v>127</v>
      </c>
      <c r="H44" s="27">
        <v>1285</v>
      </c>
      <c r="I44" s="27">
        <v>1168</v>
      </c>
      <c r="J44" s="27">
        <v>47</v>
      </c>
      <c r="K44" s="27">
        <v>2747</v>
      </c>
      <c r="L44" s="27">
        <v>1593</v>
      </c>
      <c r="M44" s="27">
        <v>102</v>
      </c>
      <c r="N44" s="27">
        <v>638</v>
      </c>
      <c r="O44" s="27">
        <v>3254</v>
      </c>
      <c r="P44" s="27">
        <v>3064</v>
      </c>
      <c r="Q44" s="27">
        <v>5821</v>
      </c>
      <c r="R44" s="27">
        <v>2385</v>
      </c>
      <c r="S44" s="27">
        <v>6099</v>
      </c>
      <c r="T44" s="27">
        <v>3200</v>
      </c>
      <c r="U44" s="27">
        <v>6379</v>
      </c>
      <c r="V44" s="27">
        <v>2056</v>
      </c>
      <c r="W44" s="27">
        <v>1945</v>
      </c>
      <c r="X44" s="27">
        <v>13715</v>
      </c>
      <c r="Y44" s="27">
        <v>3441</v>
      </c>
      <c r="Z44" s="27">
        <v>787</v>
      </c>
      <c r="AA44" s="27">
        <v>1727</v>
      </c>
      <c r="AB44" s="27">
        <v>15852</v>
      </c>
      <c r="AC44" s="27">
        <v>12166</v>
      </c>
      <c r="AD44" s="27">
        <v>1554</v>
      </c>
      <c r="AE44" s="27">
        <v>3888</v>
      </c>
      <c r="AF44" s="27">
        <v>3125</v>
      </c>
      <c r="AG44" s="27">
        <v>5255</v>
      </c>
      <c r="AH44" s="27">
        <v>2099</v>
      </c>
      <c r="AI44" s="27">
        <v>10173</v>
      </c>
      <c r="AJ44" s="27">
        <v>4392</v>
      </c>
      <c r="AK44" s="27">
        <v>7873</v>
      </c>
      <c r="AL44" s="27">
        <v>9278</v>
      </c>
      <c r="AM44" s="27">
        <v>0</v>
      </c>
      <c r="AN44" s="27">
        <v>139</v>
      </c>
      <c r="AO44" s="28">
        <v>142618</v>
      </c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</row>
    <row r="45" spans="1:63">
      <c r="A45" s="10">
        <v>40</v>
      </c>
      <c r="B45" s="10" t="s">
        <v>139</v>
      </c>
      <c r="C45" s="12" t="s">
        <v>71</v>
      </c>
      <c r="D45" s="21">
        <v>70955</v>
      </c>
      <c r="E45" s="21">
        <v>1128</v>
      </c>
      <c r="F45" s="21">
        <v>95243</v>
      </c>
      <c r="G45" s="21">
        <v>4192</v>
      </c>
      <c r="H45" s="21">
        <v>22559</v>
      </c>
      <c r="I45" s="21">
        <v>14329</v>
      </c>
      <c r="J45" s="21">
        <v>705</v>
      </c>
      <c r="K45" s="21">
        <v>45641</v>
      </c>
      <c r="L45" s="21">
        <v>31362</v>
      </c>
      <c r="M45" s="21">
        <v>5452</v>
      </c>
      <c r="N45" s="21">
        <v>14590</v>
      </c>
      <c r="O45" s="21">
        <v>79206</v>
      </c>
      <c r="P45" s="21">
        <v>78866</v>
      </c>
      <c r="Q45" s="21">
        <v>163371</v>
      </c>
      <c r="R45" s="21">
        <v>58283</v>
      </c>
      <c r="S45" s="21">
        <v>166351</v>
      </c>
      <c r="T45" s="21">
        <v>58982</v>
      </c>
      <c r="U45" s="21">
        <v>76192</v>
      </c>
      <c r="V45" s="21">
        <v>64621</v>
      </c>
      <c r="W45" s="21">
        <v>48562</v>
      </c>
      <c r="X45" s="21">
        <v>391721</v>
      </c>
      <c r="Y45" s="21">
        <v>35560</v>
      </c>
      <c r="Z45" s="21">
        <v>11217</v>
      </c>
      <c r="AA45" s="21">
        <v>45198</v>
      </c>
      <c r="AB45" s="21">
        <v>508349</v>
      </c>
      <c r="AC45" s="21">
        <v>147163</v>
      </c>
      <c r="AD45" s="21">
        <v>53150</v>
      </c>
      <c r="AE45" s="21">
        <v>165926</v>
      </c>
      <c r="AF45" s="21">
        <v>84877</v>
      </c>
      <c r="AG45" s="21">
        <v>218994</v>
      </c>
      <c r="AH45" s="21">
        <v>323326</v>
      </c>
      <c r="AI45" s="21">
        <v>648290</v>
      </c>
      <c r="AJ45" s="21">
        <v>66457</v>
      </c>
      <c r="AK45" s="21">
        <v>321420</v>
      </c>
      <c r="AL45" s="21">
        <v>194656</v>
      </c>
      <c r="AM45" s="21">
        <v>0</v>
      </c>
      <c r="AN45" s="21">
        <v>516</v>
      </c>
      <c r="AO45" s="22">
        <v>4317410</v>
      </c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</row>
    <row r="46" spans="1:63">
      <c r="A46" s="10">
        <v>41</v>
      </c>
      <c r="B46" s="10" t="s">
        <v>140</v>
      </c>
      <c r="C46" s="12" t="s">
        <v>21</v>
      </c>
      <c r="D46" s="21">
        <v>45577</v>
      </c>
      <c r="E46" s="21">
        <v>-154</v>
      </c>
      <c r="F46" s="21">
        <v>63416</v>
      </c>
      <c r="G46" s="21">
        <v>-110</v>
      </c>
      <c r="H46" s="21">
        <v>12134</v>
      </c>
      <c r="I46" s="21">
        <v>7166</v>
      </c>
      <c r="J46" s="21">
        <v>1703</v>
      </c>
      <c r="K46" s="21">
        <v>11879</v>
      </c>
      <c r="L46" s="21">
        <v>10346</v>
      </c>
      <c r="M46" s="21">
        <v>5180</v>
      </c>
      <c r="N46" s="21">
        <v>-453</v>
      </c>
      <c r="O46" s="21">
        <v>17518</v>
      </c>
      <c r="P46" s="21">
        <v>27278</v>
      </c>
      <c r="Q46" s="21">
        <v>40506</v>
      </c>
      <c r="R46" s="21">
        <v>1384</v>
      </c>
      <c r="S46" s="21">
        <v>-52843</v>
      </c>
      <c r="T46" s="21">
        <v>-2558</v>
      </c>
      <c r="U46" s="21">
        <v>-5818</v>
      </c>
      <c r="V46" s="21">
        <v>-4466</v>
      </c>
      <c r="W46" s="21">
        <v>3307</v>
      </c>
      <c r="X46" s="21">
        <v>29324</v>
      </c>
      <c r="Y46" s="21">
        <v>-50434</v>
      </c>
      <c r="Z46" s="21">
        <v>9638</v>
      </c>
      <c r="AA46" s="21">
        <v>4272</v>
      </c>
      <c r="AB46" s="21">
        <v>81100</v>
      </c>
      <c r="AC46" s="21">
        <v>106640</v>
      </c>
      <c r="AD46" s="21">
        <v>468325</v>
      </c>
      <c r="AE46" s="21">
        <v>25615</v>
      </c>
      <c r="AF46" s="21">
        <v>67684</v>
      </c>
      <c r="AG46" s="21">
        <v>-3566</v>
      </c>
      <c r="AH46" s="21">
        <v>6934</v>
      </c>
      <c r="AI46" s="21">
        <v>9765</v>
      </c>
      <c r="AJ46" s="21">
        <v>-1900</v>
      </c>
      <c r="AK46" s="21">
        <v>56156</v>
      </c>
      <c r="AL46" s="21">
        <v>-3494</v>
      </c>
      <c r="AM46" s="21">
        <v>0</v>
      </c>
      <c r="AN46" s="21">
        <v>39764.999999999942</v>
      </c>
      <c r="AO46" s="22">
        <v>1026816</v>
      </c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</row>
    <row r="47" spans="1:63">
      <c r="A47" s="10">
        <v>42</v>
      </c>
      <c r="B47" s="10" t="s">
        <v>141</v>
      </c>
      <c r="C47" s="12" t="s">
        <v>22</v>
      </c>
      <c r="D47" s="21">
        <v>51927</v>
      </c>
      <c r="E47" s="21">
        <v>460</v>
      </c>
      <c r="F47" s="21">
        <v>42994</v>
      </c>
      <c r="G47" s="21">
        <v>1490</v>
      </c>
      <c r="H47" s="21">
        <v>7630</v>
      </c>
      <c r="I47" s="21">
        <v>29658</v>
      </c>
      <c r="J47" s="21">
        <v>973</v>
      </c>
      <c r="K47" s="21">
        <v>18036</v>
      </c>
      <c r="L47" s="21">
        <v>14616</v>
      </c>
      <c r="M47" s="21">
        <v>1296</v>
      </c>
      <c r="N47" s="21">
        <v>2838</v>
      </c>
      <c r="O47" s="21">
        <v>23320</v>
      </c>
      <c r="P47" s="21">
        <v>30583</v>
      </c>
      <c r="Q47" s="21">
        <v>72026</v>
      </c>
      <c r="R47" s="21">
        <v>31432</v>
      </c>
      <c r="S47" s="21">
        <v>100166</v>
      </c>
      <c r="T47" s="21">
        <v>48289</v>
      </c>
      <c r="U47" s="21">
        <v>90983</v>
      </c>
      <c r="V47" s="21">
        <v>38343</v>
      </c>
      <c r="W47" s="21">
        <v>20541</v>
      </c>
      <c r="X47" s="21">
        <v>59024</v>
      </c>
      <c r="Y47" s="21">
        <v>145038</v>
      </c>
      <c r="Z47" s="21">
        <v>19246</v>
      </c>
      <c r="AA47" s="21">
        <v>7774</v>
      </c>
      <c r="AB47" s="21">
        <v>112742</v>
      </c>
      <c r="AC47" s="21">
        <v>37199</v>
      </c>
      <c r="AD47" s="21">
        <v>440573</v>
      </c>
      <c r="AE47" s="21">
        <v>53117</v>
      </c>
      <c r="AF47" s="21">
        <v>77527</v>
      </c>
      <c r="AG47" s="21">
        <v>234922</v>
      </c>
      <c r="AH47" s="21">
        <v>112033</v>
      </c>
      <c r="AI47" s="21">
        <v>69003</v>
      </c>
      <c r="AJ47" s="21">
        <v>5442</v>
      </c>
      <c r="AK47" s="21">
        <v>88831</v>
      </c>
      <c r="AL47" s="21">
        <v>85560</v>
      </c>
      <c r="AM47" s="21">
        <v>0</v>
      </c>
      <c r="AN47" s="21">
        <v>2445</v>
      </c>
      <c r="AO47" s="22">
        <v>2178077</v>
      </c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</row>
    <row r="48" spans="1:63">
      <c r="A48" s="10">
        <v>43</v>
      </c>
      <c r="B48" s="10" t="s">
        <v>142</v>
      </c>
      <c r="C48" s="12" t="s">
        <v>23</v>
      </c>
      <c r="D48" s="21">
        <v>9697</v>
      </c>
      <c r="E48" s="21">
        <v>220</v>
      </c>
      <c r="F48" s="21">
        <v>21110</v>
      </c>
      <c r="G48" s="21">
        <v>304</v>
      </c>
      <c r="H48" s="21">
        <v>4923</v>
      </c>
      <c r="I48" s="21">
        <v>1508</v>
      </c>
      <c r="J48" s="21">
        <v>377</v>
      </c>
      <c r="K48" s="21">
        <v>4735</v>
      </c>
      <c r="L48" s="21">
        <v>4569</v>
      </c>
      <c r="M48" s="21">
        <v>1166</v>
      </c>
      <c r="N48" s="21">
        <v>894</v>
      </c>
      <c r="O48" s="21">
        <v>10671</v>
      </c>
      <c r="P48" s="21">
        <v>1772</v>
      </c>
      <c r="Q48" s="21">
        <v>2777</v>
      </c>
      <c r="R48" s="21">
        <v>-9472</v>
      </c>
      <c r="S48" s="21">
        <v>-10087</v>
      </c>
      <c r="T48" s="21">
        <v>-7385</v>
      </c>
      <c r="U48" s="21">
        <v>-20947</v>
      </c>
      <c r="V48" s="21">
        <v>-1026</v>
      </c>
      <c r="W48" s="21">
        <v>2159</v>
      </c>
      <c r="X48" s="21">
        <v>54956</v>
      </c>
      <c r="Y48" s="21">
        <v>13492</v>
      </c>
      <c r="Z48" s="21">
        <v>3605</v>
      </c>
      <c r="AA48" s="21">
        <v>4292</v>
      </c>
      <c r="AB48" s="21">
        <v>67073</v>
      </c>
      <c r="AC48" s="21">
        <v>8408</v>
      </c>
      <c r="AD48" s="21">
        <v>90508</v>
      </c>
      <c r="AE48" s="21">
        <v>22223</v>
      </c>
      <c r="AF48" s="21">
        <v>14463</v>
      </c>
      <c r="AG48" s="21">
        <v>1121</v>
      </c>
      <c r="AH48" s="21">
        <v>5096</v>
      </c>
      <c r="AI48" s="21">
        <v>12117</v>
      </c>
      <c r="AJ48" s="21">
        <v>3943</v>
      </c>
      <c r="AK48" s="21">
        <v>45919</v>
      </c>
      <c r="AL48" s="21">
        <v>30035</v>
      </c>
      <c r="AM48" s="21">
        <v>0</v>
      </c>
      <c r="AN48" s="21">
        <v>2287</v>
      </c>
      <c r="AO48" s="22">
        <v>397503</v>
      </c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</row>
    <row r="49" spans="1:63">
      <c r="A49" s="10">
        <v>44</v>
      </c>
      <c r="B49" s="10" t="s">
        <v>143</v>
      </c>
      <c r="C49" s="12" t="s">
        <v>24</v>
      </c>
      <c r="D49" s="21">
        <v>-9109</v>
      </c>
      <c r="E49" s="21">
        <v>0</v>
      </c>
      <c r="F49" s="21">
        <v>-1014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-2</v>
      </c>
      <c r="P49" s="21">
        <v>-1</v>
      </c>
      <c r="Q49" s="21">
        <v>-1</v>
      </c>
      <c r="R49" s="21">
        <v>-1</v>
      </c>
      <c r="S49" s="21">
        <v>-4</v>
      </c>
      <c r="T49" s="21">
        <v>0</v>
      </c>
      <c r="U49" s="21">
        <v>-1</v>
      </c>
      <c r="V49" s="21">
        <v>-2</v>
      </c>
      <c r="W49" s="21">
        <v>0</v>
      </c>
      <c r="X49" s="21">
        <v>-5522</v>
      </c>
      <c r="Y49" s="21">
        <v>-56</v>
      </c>
      <c r="Z49" s="21">
        <v>-3282</v>
      </c>
      <c r="AA49" s="21">
        <v>0</v>
      </c>
      <c r="AB49" s="21">
        <v>-835</v>
      </c>
      <c r="AC49" s="21">
        <v>-6186</v>
      </c>
      <c r="AD49" s="21">
        <v>-169</v>
      </c>
      <c r="AE49" s="21">
        <v>-1409</v>
      </c>
      <c r="AF49" s="21">
        <v>-2</v>
      </c>
      <c r="AG49" s="21">
        <v>0</v>
      </c>
      <c r="AH49" s="21">
        <v>-1187</v>
      </c>
      <c r="AI49" s="21">
        <v>-14824</v>
      </c>
      <c r="AJ49" s="21">
        <v>-2400</v>
      </c>
      <c r="AK49" s="21">
        <v>-25</v>
      </c>
      <c r="AL49" s="21">
        <v>0</v>
      </c>
      <c r="AM49" s="21">
        <v>0</v>
      </c>
      <c r="AN49" s="21">
        <v>-206</v>
      </c>
      <c r="AO49" s="22">
        <v>-46238</v>
      </c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</row>
    <row r="50" spans="1:63">
      <c r="A50" s="10">
        <v>45</v>
      </c>
      <c r="B50" s="11" t="s">
        <v>144</v>
      </c>
      <c r="C50" s="13" t="s">
        <v>25</v>
      </c>
      <c r="D50" s="24">
        <v>170165</v>
      </c>
      <c r="E50" s="24">
        <v>1700</v>
      </c>
      <c r="F50" s="24">
        <v>225829</v>
      </c>
      <c r="G50" s="24">
        <v>6003</v>
      </c>
      <c r="H50" s="24">
        <v>48531</v>
      </c>
      <c r="I50" s="24">
        <v>53829</v>
      </c>
      <c r="J50" s="24">
        <v>3805</v>
      </c>
      <c r="K50" s="24">
        <v>83038</v>
      </c>
      <c r="L50" s="24">
        <v>62486</v>
      </c>
      <c r="M50" s="24">
        <v>13196</v>
      </c>
      <c r="N50" s="24">
        <v>18507</v>
      </c>
      <c r="O50" s="24">
        <v>133967</v>
      </c>
      <c r="P50" s="24">
        <v>141562</v>
      </c>
      <c r="Q50" s="24">
        <v>284500</v>
      </c>
      <c r="R50" s="24">
        <v>84011</v>
      </c>
      <c r="S50" s="24">
        <v>209682</v>
      </c>
      <c r="T50" s="24">
        <v>100528</v>
      </c>
      <c r="U50" s="24">
        <v>146788</v>
      </c>
      <c r="V50" s="24">
        <v>99526</v>
      </c>
      <c r="W50" s="24">
        <v>76514</v>
      </c>
      <c r="X50" s="24">
        <v>543218</v>
      </c>
      <c r="Y50" s="24">
        <v>147041</v>
      </c>
      <c r="Z50" s="24">
        <v>41211</v>
      </c>
      <c r="AA50" s="24">
        <v>63263</v>
      </c>
      <c r="AB50" s="24">
        <v>784281</v>
      </c>
      <c r="AC50" s="24">
        <v>305390</v>
      </c>
      <c r="AD50" s="24">
        <v>1053941</v>
      </c>
      <c r="AE50" s="24">
        <v>269360</v>
      </c>
      <c r="AF50" s="24">
        <v>247674</v>
      </c>
      <c r="AG50" s="24">
        <v>456726</v>
      </c>
      <c r="AH50" s="24">
        <v>448301</v>
      </c>
      <c r="AI50" s="24">
        <v>734524</v>
      </c>
      <c r="AJ50" s="24">
        <v>75934</v>
      </c>
      <c r="AK50" s="24">
        <v>520174</v>
      </c>
      <c r="AL50" s="24">
        <v>316035</v>
      </c>
      <c r="AM50" s="24">
        <v>0</v>
      </c>
      <c r="AN50" s="24">
        <v>44945.999999999942</v>
      </c>
      <c r="AO50" s="25">
        <v>8016186</v>
      </c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</row>
    <row r="51" spans="1:63">
      <c r="A51" s="58">
        <v>46</v>
      </c>
      <c r="B51" s="6" t="s">
        <v>145</v>
      </c>
      <c r="C51" s="54" t="s">
        <v>208</v>
      </c>
      <c r="D51" s="56">
        <v>353216</v>
      </c>
      <c r="E51" s="24">
        <v>4219</v>
      </c>
      <c r="F51" s="24">
        <v>684872</v>
      </c>
      <c r="G51" s="24">
        <v>14463</v>
      </c>
      <c r="H51" s="24">
        <v>124358</v>
      </c>
      <c r="I51" s="24">
        <v>133079</v>
      </c>
      <c r="J51" s="24">
        <v>8117</v>
      </c>
      <c r="K51" s="24">
        <v>196629</v>
      </c>
      <c r="L51" s="24">
        <v>137262</v>
      </c>
      <c r="M51" s="24">
        <v>32958</v>
      </c>
      <c r="N51" s="24">
        <v>98270</v>
      </c>
      <c r="O51" s="24">
        <v>265795</v>
      </c>
      <c r="P51" s="24">
        <v>292671</v>
      </c>
      <c r="Q51" s="24">
        <v>600605</v>
      </c>
      <c r="R51" s="24">
        <v>207281</v>
      </c>
      <c r="S51" s="24">
        <v>628483</v>
      </c>
      <c r="T51" s="24">
        <v>267780</v>
      </c>
      <c r="U51" s="24">
        <v>441841</v>
      </c>
      <c r="V51" s="24">
        <v>352253</v>
      </c>
      <c r="W51" s="24">
        <v>171974</v>
      </c>
      <c r="X51" s="24">
        <v>1136295</v>
      </c>
      <c r="Y51" s="24">
        <v>282036</v>
      </c>
      <c r="Z51" s="24">
        <v>94645</v>
      </c>
      <c r="AA51" s="24">
        <v>99555</v>
      </c>
      <c r="AB51" s="24">
        <v>1160031</v>
      </c>
      <c r="AC51" s="24">
        <v>490016</v>
      </c>
      <c r="AD51" s="24">
        <v>1258921</v>
      </c>
      <c r="AE51" s="24">
        <v>624747</v>
      </c>
      <c r="AF51" s="24">
        <v>492275</v>
      </c>
      <c r="AG51" s="24">
        <v>630205</v>
      </c>
      <c r="AH51" s="24">
        <v>658241</v>
      </c>
      <c r="AI51" s="24">
        <v>1225899</v>
      </c>
      <c r="AJ51" s="24">
        <v>125367</v>
      </c>
      <c r="AK51" s="24">
        <v>869434</v>
      </c>
      <c r="AL51" s="24">
        <v>614704</v>
      </c>
      <c r="AM51" s="24">
        <v>23247</v>
      </c>
      <c r="AN51" s="24">
        <v>69546</v>
      </c>
      <c r="AO51" s="25">
        <v>14871290</v>
      </c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</row>
    <row r="55" spans="1:63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</row>
    <row r="56" spans="1:63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</row>
    <row r="57" spans="1:63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</row>
    <row r="58" spans="1:63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</row>
    <row r="59" spans="1:63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</row>
    <row r="60" spans="1:63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</row>
    <row r="61" spans="1:63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63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</row>
    <row r="63" spans="1:63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</row>
    <row r="64" spans="1:63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</row>
    <row r="65" spans="4:41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</row>
    <row r="66" spans="4:41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</row>
    <row r="67" spans="4:41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</row>
    <row r="68" spans="4:41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</row>
    <row r="69" spans="4:41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</row>
    <row r="70" spans="4:41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</row>
    <row r="71" spans="4:41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</row>
    <row r="72" spans="4:41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</row>
    <row r="73" spans="4:41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</row>
    <row r="74" spans="4:41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4:41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4:41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4:41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4:41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4:41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4:41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4:41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4:41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3" spans="4:41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</row>
    <row r="84" spans="4:41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</row>
    <row r="85" spans="4:41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</row>
    <row r="86" spans="4:41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</row>
    <row r="87" spans="4:41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</row>
    <row r="88" spans="4:41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4:41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</row>
    <row r="90" spans="4:41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4:41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</row>
    <row r="92" spans="4:41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4:41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</row>
    <row r="94" spans="4:41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</row>
    <row r="95" spans="4:41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4:41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0C56-F910-42A3-A33A-7FD688695368}">
  <dimension ref="A1:BK51"/>
  <sheetViews>
    <sheetView workbookViewId="0">
      <pane xSplit="3" ySplit="5" topLeftCell="D6" activePane="bottomRight" state="frozen"/>
      <selection activeCell="H40" sqref="H40"/>
      <selection pane="topRight" activeCell="H40" sqref="H40"/>
      <selection pane="bottomLeft" activeCell="H40" sqref="H40"/>
      <selection pane="bottomRight"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9.59765625" style="1" bestFit="1" customWidth="1"/>
    <col min="4" max="214" width="10.59765625" style="1" customWidth="1"/>
    <col min="215" max="16384" width="8.69921875" style="1"/>
  </cols>
  <sheetData>
    <row r="1" spans="1:63">
      <c r="A1" s="1" t="s">
        <v>226</v>
      </c>
    </row>
    <row r="2" spans="1:63">
      <c r="A2" s="1" t="s">
        <v>26</v>
      </c>
    </row>
    <row r="3" spans="1:63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17">
        <v>9</v>
      </c>
      <c r="M3" s="17">
        <v>10</v>
      </c>
      <c r="N3" s="17">
        <v>11</v>
      </c>
      <c r="O3" s="17">
        <v>12</v>
      </c>
      <c r="P3" s="17">
        <v>13</v>
      </c>
      <c r="Q3" s="17">
        <v>14</v>
      </c>
      <c r="R3" s="17">
        <v>15</v>
      </c>
      <c r="S3" s="17">
        <v>16</v>
      </c>
      <c r="T3" s="17">
        <v>17</v>
      </c>
      <c r="U3" s="17">
        <v>18</v>
      </c>
      <c r="V3" s="17">
        <v>19</v>
      </c>
      <c r="W3" s="17">
        <v>20</v>
      </c>
      <c r="X3" s="17">
        <v>21</v>
      </c>
      <c r="Y3" s="17">
        <v>22</v>
      </c>
      <c r="Z3" s="17">
        <v>23</v>
      </c>
      <c r="AA3" s="17">
        <v>24</v>
      </c>
      <c r="AB3" s="17">
        <v>25</v>
      </c>
      <c r="AC3" s="17">
        <v>26</v>
      </c>
      <c r="AD3" s="17">
        <v>27</v>
      </c>
      <c r="AE3" s="17">
        <v>28</v>
      </c>
      <c r="AF3" s="17">
        <v>29</v>
      </c>
      <c r="AG3" s="17">
        <v>30</v>
      </c>
      <c r="AH3" s="17">
        <v>31</v>
      </c>
      <c r="AI3" s="17">
        <v>32</v>
      </c>
      <c r="AJ3" s="17">
        <v>33</v>
      </c>
      <c r="AK3" s="17">
        <v>34</v>
      </c>
      <c r="AL3" s="17">
        <v>35</v>
      </c>
      <c r="AM3" s="17">
        <v>36</v>
      </c>
      <c r="AN3" s="17">
        <v>37</v>
      </c>
      <c r="AO3" s="17">
        <v>38</v>
      </c>
      <c r="AP3" s="17">
        <v>39</v>
      </c>
      <c r="AQ3" s="17">
        <v>40</v>
      </c>
      <c r="AR3" s="17">
        <v>41</v>
      </c>
      <c r="AS3" s="17">
        <v>42</v>
      </c>
      <c r="AT3" s="17">
        <v>43</v>
      </c>
      <c r="AU3" s="17">
        <v>44</v>
      </c>
      <c r="AV3" s="17">
        <v>45</v>
      </c>
      <c r="AW3" s="17">
        <v>46</v>
      </c>
      <c r="AX3" s="17">
        <v>47</v>
      </c>
      <c r="AY3" s="17">
        <v>48</v>
      </c>
      <c r="AZ3" s="17">
        <v>49</v>
      </c>
      <c r="BA3" s="17">
        <v>50</v>
      </c>
      <c r="BB3" s="17">
        <v>51</v>
      </c>
      <c r="BC3" s="17">
        <v>52</v>
      </c>
      <c r="BD3" s="17">
        <v>53</v>
      </c>
      <c r="BE3" s="17">
        <v>54</v>
      </c>
      <c r="BF3" s="17">
        <v>55</v>
      </c>
      <c r="BG3" s="17">
        <v>56</v>
      </c>
      <c r="BH3" s="17">
        <v>57</v>
      </c>
      <c r="BI3" s="17">
        <v>58</v>
      </c>
      <c r="BJ3" s="17">
        <v>59</v>
      </c>
      <c r="BK3" s="20">
        <v>60</v>
      </c>
    </row>
    <row r="4" spans="1:63">
      <c r="A4" s="10"/>
      <c r="B4" s="16"/>
      <c r="C4" s="18"/>
      <c r="D4" s="4" t="s">
        <v>75</v>
      </c>
      <c r="E4" s="4" t="s">
        <v>77</v>
      </c>
      <c r="F4" s="4" t="s">
        <v>79</v>
      </c>
      <c r="G4" s="4" t="s">
        <v>81</v>
      </c>
      <c r="H4" s="4" t="s">
        <v>83</v>
      </c>
      <c r="I4" s="4" t="s">
        <v>85</v>
      </c>
      <c r="J4" s="4" t="s">
        <v>87</v>
      </c>
      <c r="K4" s="4" t="s">
        <v>89</v>
      </c>
      <c r="L4" s="4" t="s">
        <v>91</v>
      </c>
      <c r="M4" s="4" t="s">
        <v>93</v>
      </c>
      <c r="N4" s="4" t="s">
        <v>95</v>
      </c>
      <c r="O4" s="4" t="s">
        <v>97</v>
      </c>
      <c r="P4" s="4" t="s">
        <v>99</v>
      </c>
      <c r="Q4" s="4" t="s">
        <v>100</v>
      </c>
      <c r="R4" s="4" t="s">
        <v>101</v>
      </c>
      <c r="S4" s="4" t="s">
        <v>102</v>
      </c>
      <c r="T4" s="4" t="s">
        <v>104</v>
      </c>
      <c r="U4" s="4" t="s">
        <v>106</v>
      </c>
      <c r="V4" s="4" t="s">
        <v>108</v>
      </c>
      <c r="W4" s="4" t="s">
        <v>110</v>
      </c>
      <c r="X4" s="4" t="s">
        <v>111</v>
      </c>
      <c r="Y4" s="4" t="s">
        <v>113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121</v>
      </c>
      <c r="AF4" s="4" t="s">
        <v>123</v>
      </c>
      <c r="AG4" s="4" t="s">
        <v>125</v>
      </c>
      <c r="AH4" s="4" t="s">
        <v>126</v>
      </c>
      <c r="AI4" s="4" t="s">
        <v>128</v>
      </c>
      <c r="AJ4" s="4" t="s">
        <v>130</v>
      </c>
      <c r="AK4" s="4" t="s">
        <v>131</v>
      </c>
      <c r="AL4" s="4" t="s">
        <v>133</v>
      </c>
      <c r="AM4" s="4" t="s">
        <v>135</v>
      </c>
      <c r="AN4" s="4" t="s">
        <v>136</v>
      </c>
      <c r="AO4" s="2" t="s">
        <v>137</v>
      </c>
      <c r="AP4" s="2" t="s">
        <v>138</v>
      </c>
      <c r="AQ4" s="4" t="s">
        <v>146</v>
      </c>
      <c r="AR4" s="4" t="s">
        <v>147</v>
      </c>
      <c r="AS4" s="4" t="s">
        <v>148</v>
      </c>
      <c r="AT4" s="4" t="s">
        <v>149</v>
      </c>
      <c r="AU4" s="4" t="s">
        <v>150</v>
      </c>
      <c r="AV4" s="5" t="s">
        <v>151</v>
      </c>
      <c r="AW4" s="5" t="s">
        <v>152</v>
      </c>
      <c r="AX4" s="5" t="s">
        <v>153</v>
      </c>
      <c r="AY4" s="5" t="s">
        <v>154</v>
      </c>
      <c r="AZ4" s="5" t="s">
        <v>155</v>
      </c>
      <c r="BA4" s="5" t="s">
        <v>156</v>
      </c>
      <c r="BB4" s="5" t="s">
        <v>157</v>
      </c>
      <c r="BC4" s="5" t="s">
        <v>158</v>
      </c>
      <c r="BD4" s="4" t="s">
        <v>159</v>
      </c>
      <c r="BE4" s="4" t="s">
        <v>160</v>
      </c>
      <c r="BF4" s="4" t="s">
        <v>161</v>
      </c>
      <c r="BG4" s="5" t="s">
        <v>162</v>
      </c>
      <c r="BH4" s="5" t="s">
        <v>163</v>
      </c>
      <c r="BI4" s="5" t="s">
        <v>164</v>
      </c>
      <c r="BJ4" s="4" t="s">
        <v>165</v>
      </c>
      <c r="BK4" s="5" t="s">
        <v>145</v>
      </c>
    </row>
    <row r="5" spans="1:63" ht="48" customHeight="1">
      <c r="A5" s="6"/>
      <c r="B5" s="15"/>
      <c r="C5" s="69" t="s">
        <v>225</v>
      </c>
      <c r="D5" s="7" t="s">
        <v>179</v>
      </c>
      <c r="E5" s="7" t="s">
        <v>180</v>
      </c>
      <c r="F5" s="7" t="s">
        <v>181</v>
      </c>
      <c r="G5" s="7" t="s">
        <v>82</v>
      </c>
      <c r="H5" s="7" t="s">
        <v>84</v>
      </c>
      <c r="I5" s="7" t="s">
        <v>86</v>
      </c>
      <c r="J5" s="7" t="s">
        <v>88</v>
      </c>
      <c r="K5" s="7" t="s">
        <v>182</v>
      </c>
      <c r="L5" s="7" t="s">
        <v>92</v>
      </c>
      <c r="M5" s="7" t="s">
        <v>94</v>
      </c>
      <c r="N5" s="7" t="s">
        <v>96</v>
      </c>
      <c r="O5" s="7" t="s">
        <v>98</v>
      </c>
      <c r="P5" s="7" t="s">
        <v>183</v>
      </c>
      <c r="Q5" s="7" t="s">
        <v>184</v>
      </c>
      <c r="R5" s="7" t="s">
        <v>185</v>
      </c>
      <c r="S5" s="7" t="s">
        <v>186</v>
      </c>
      <c r="T5" s="7" t="s">
        <v>105</v>
      </c>
      <c r="U5" s="7" t="s">
        <v>187</v>
      </c>
      <c r="V5" s="7" t="s">
        <v>109</v>
      </c>
      <c r="W5" s="7" t="s">
        <v>66</v>
      </c>
      <c r="X5" s="7" t="s">
        <v>112</v>
      </c>
      <c r="Y5" s="7" t="s">
        <v>188</v>
      </c>
      <c r="Z5" s="7" t="s">
        <v>0</v>
      </c>
      <c r="AA5" s="7" t="s">
        <v>1</v>
      </c>
      <c r="AB5" s="7" t="s">
        <v>67</v>
      </c>
      <c r="AC5" s="7" t="s">
        <v>68</v>
      </c>
      <c r="AD5" s="7" t="s">
        <v>120</v>
      </c>
      <c r="AE5" s="7" t="s">
        <v>189</v>
      </c>
      <c r="AF5" s="7" t="s">
        <v>190</v>
      </c>
      <c r="AG5" s="7" t="s">
        <v>69</v>
      </c>
      <c r="AH5" s="7" t="s">
        <v>127</v>
      </c>
      <c r="AI5" s="7" t="s">
        <v>191</v>
      </c>
      <c r="AJ5" s="7" t="s">
        <v>192</v>
      </c>
      <c r="AK5" s="7" t="s">
        <v>132</v>
      </c>
      <c r="AL5" s="7" t="s">
        <v>193</v>
      </c>
      <c r="AM5" s="7" t="s">
        <v>194</v>
      </c>
      <c r="AN5" s="7" t="s">
        <v>195</v>
      </c>
      <c r="AO5" s="53" t="s">
        <v>5</v>
      </c>
      <c r="AP5" s="53" t="s">
        <v>6</v>
      </c>
      <c r="AQ5" s="7" t="s">
        <v>70</v>
      </c>
      <c r="AR5" s="7" t="s">
        <v>7</v>
      </c>
      <c r="AS5" s="7" t="s">
        <v>196</v>
      </c>
      <c r="AT5" s="7" t="s">
        <v>197</v>
      </c>
      <c r="AU5" s="7" t="s">
        <v>10</v>
      </c>
      <c r="AV5" s="8" t="s">
        <v>198</v>
      </c>
      <c r="AW5" s="8" t="s">
        <v>199</v>
      </c>
      <c r="AX5" s="8" t="s">
        <v>11</v>
      </c>
      <c r="AY5" s="8" t="s">
        <v>200</v>
      </c>
      <c r="AZ5" s="8" t="s">
        <v>201</v>
      </c>
      <c r="BA5" s="8" t="s">
        <v>202</v>
      </c>
      <c r="BB5" s="8" t="s">
        <v>14</v>
      </c>
      <c r="BC5" s="8" t="s">
        <v>15</v>
      </c>
      <c r="BD5" s="7" t="s">
        <v>16</v>
      </c>
      <c r="BE5" s="7" t="s">
        <v>17</v>
      </c>
      <c r="BF5" s="7" t="s">
        <v>18</v>
      </c>
      <c r="BG5" s="8" t="s">
        <v>19</v>
      </c>
      <c r="BH5" s="8" t="s">
        <v>203</v>
      </c>
      <c r="BI5" s="8" t="s">
        <v>204</v>
      </c>
      <c r="BJ5" s="7" t="s">
        <v>205</v>
      </c>
      <c r="BK5" s="8" t="s">
        <v>206</v>
      </c>
    </row>
    <row r="6" spans="1:63">
      <c r="A6" s="10">
        <v>1</v>
      </c>
      <c r="B6" s="10" t="s">
        <v>75</v>
      </c>
      <c r="C6" s="12" t="s">
        <v>179</v>
      </c>
      <c r="D6" s="38">
        <v>0.11277235459322341</v>
      </c>
      <c r="E6" s="38">
        <v>0</v>
      </c>
      <c r="F6" s="38">
        <v>0.15077999976637971</v>
      </c>
      <c r="G6" s="38">
        <v>1.0647860056696398E-2</v>
      </c>
      <c r="H6" s="38">
        <v>2.4710915260779363E-2</v>
      </c>
      <c r="I6" s="38">
        <v>2.3895580820414942E-3</v>
      </c>
      <c r="J6" s="38">
        <v>0</v>
      </c>
      <c r="K6" s="38">
        <v>6.5605785514852842E-4</v>
      </c>
      <c r="L6" s="38">
        <v>3.059841762468855E-4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5.7101654901322296E-3</v>
      </c>
      <c r="X6" s="38">
        <v>1.0525435736318473E-3</v>
      </c>
      <c r="Y6" s="38">
        <v>0</v>
      </c>
      <c r="Z6" s="38">
        <v>0</v>
      </c>
      <c r="AA6" s="38">
        <v>0</v>
      </c>
      <c r="AB6" s="38">
        <v>1.6034054262342989E-4</v>
      </c>
      <c r="AC6" s="38">
        <v>0</v>
      </c>
      <c r="AD6" s="38">
        <v>4.7659861103278123E-6</v>
      </c>
      <c r="AE6" s="38">
        <v>0</v>
      </c>
      <c r="AF6" s="38">
        <v>0</v>
      </c>
      <c r="AG6" s="38">
        <v>1.2694282019342913E-5</v>
      </c>
      <c r="AH6" s="38">
        <v>1.6817548587827254E-3</v>
      </c>
      <c r="AI6" s="38">
        <v>2.1967551976141589E-3</v>
      </c>
      <c r="AJ6" s="38">
        <v>2.1457002241419194E-3</v>
      </c>
      <c r="AK6" s="38">
        <v>9.2013884895230697E-6</v>
      </c>
      <c r="AL6" s="38">
        <v>1.7826466071475051E-2</v>
      </c>
      <c r="AM6" s="38">
        <v>0</v>
      </c>
      <c r="AN6" s="38">
        <v>0</v>
      </c>
      <c r="AO6" s="31">
        <v>1.104322489844526E-2</v>
      </c>
      <c r="AP6" s="59">
        <v>6.9275967970382421E-3</v>
      </c>
      <c r="AQ6" s="30">
        <v>1.2194616938692138E-2</v>
      </c>
      <c r="AR6" s="30">
        <v>0</v>
      </c>
      <c r="AS6" s="30">
        <v>0</v>
      </c>
      <c r="AT6" s="30">
        <v>1.7012785041781099E-3</v>
      </c>
      <c r="AU6" s="30">
        <v>-7.7306681565170607E-2</v>
      </c>
      <c r="AV6" s="37">
        <v>6.8116779344340947E-3</v>
      </c>
      <c r="AW6" s="37">
        <v>1.4281434313346528E-2</v>
      </c>
      <c r="AX6" s="37">
        <v>1.6539097941088677E-3</v>
      </c>
      <c r="AY6" s="37">
        <v>1.6539097941088677E-3</v>
      </c>
      <c r="AZ6" s="37">
        <v>6.3115786834271548E-2</v>
      </c>
      <c r="BA6" s="37">
        <v>4.7132296384351041E-2</v>
      </c>
      <c r="BB6" s="37">
        <v>2.1734739922802677E-2</v>
      </c>
      <c r="BC6" s="37">
        <v>2.2461797504136537E-2</v>
      </c>
      <c r="BD6" s="30">
        <v>2.2510674460949388E-2</v>
      </c>
      <c r="BE6" s="30">
        <v>4.8844884488448842E-2</v>
      </c>
      <c r="BF6" s="30">
        <v>2.0073620931649057E-2</v>
      </c>
      <c r="BG6" s="37">
        <v>2.2544102292807264E-2</v>
      </c>
      <c r="BH6" s="37">
        <v>1.8436505675444116E-2</v>
      </c>
      <c r="BI6" s="37">
        <v>1.9307392897559492E-2</v>
      </c>
      <c r="BJ6" s="37">
        <v>2.3575925009724077E-2</v>
      </c>
      <c r="BK6" s="32">
        <v>2.3751537358225144E-2</v>
      </c>
    </row>
    <row r="7" spans="1:63">
      <c r="A7" s="10">
        <v>2</v>
      </c>
      <c r="B7" s="10" t="s">
        <v>77</v>
      </c>
      <c r="C7" s="12" t="s">
        <v>209</v>
      </c>
      <c r="D7" s="38">
        <v>4.52980612429788E-5</v>
      </c>
      <c r="E7" s="38">
        <v>0</v>
      </c>
      <c r="F7" s="38">
        <v>2.5990258033617962E-4</v>
      </c>
      <c r="G7" s="38">
        <v>0</v>
      </c>
      <c r="H7" s="38">
        <v>7.8000611138808926E-4</v>
      </c>
      <c r="I7" s="38">
        <v>3.6068801238362176E-3</v>
      </c>
      <c r="J7" s="38">
        <v>4.8416902796599728E-2</v>
      </c>
      <c r="K7" s="38">
        <v>3.0514318844117602E-5</v>
      </c>
      <c r="L7" s="38">
        <v>2.5768238842505575E-2</v>
      </c>
      <c r="M7" s="38">
        <v>1.2136658777838462E-4</v>
      </c>
      <c r="N7" s="38">
        <v>2.4381805230487434E-2</v>
      </c>
      <c r="O7" s="38">
        <v>9.029515227901202E-5</v>
      </c>
      <c r="P7" s="38">
        <v>6.8336118030143064E-5</v>
      </c>
      <c r="Q7" s="38">
        <v>4.828464631496574E-5</v>
      </c>
      <c r="R7" s="38">
        <v>6.271679507528427E-5</v>
      </c>
      <c r="S7" s="38">
        <v>1.4001969822572766E-4</v>
      </c>
      <c r="T7" s="38">
        <v>1.1203226529240422E-5</v>
      </c>
      <c r="U7" s="38">
        <v>2.2632575971899393E-6</v>
      </c>
      <c r="V7" s="38">
        <v>1.0787700885443133E-4</v>
      </c>
      <c r="W7" s="38">
        <v>4.4774210055008318E-4</v>
      </c>
      <c r="X7" s="38">
        <v>2.3004589477204425E-3</v>
      </c>
      <c r="Y7" s="38">
        <v>4.2944872285807484E-2</v>
      </c>
      <c r="Z7" s="38">
        <v>0</v>
      </c>
      <c r="AA7" s="38">
        <v>0</v>
      </c>
      <c r="AB7" s="38">
        <v>1.7240918561659128E-6</v>
      </c>
      <c r="AC7" s="38">
        <v>0</v>
      </c>
      <c r="AD7" s="38">
        <v>0</v>
      </c>
      <c r="AE7" s="38">
        <v>1.6006479422870379E-6</v>
      </c>
      <c r="AF7" s="38">
        <v>0</v>
      </c>
      <c r="AG7" s="38">
        <v>3.1735705048357282E-6</v>
      </c>
      <c r="AH7" s="38">
        <v>4.1018411189822574E-5</v>
      </c>
      <c r="AI7" s="38">
        <v>5.710095203601602E-6</v>
      </c>
      <c r="AJ7" s="38">
        <v>3.9882903794459468E-5</v>
      </c>
      <c r="AK7" s="38">
        <v>3.4505206835711509E-6</v>
      </c>
      <c r="AL7" s="38">
        <v>4.8803977198781849E-6</v>
      </c>
      <c r="AM7" s="38">
        <v>0</v>
      </c>
      <c r="AN7" s="38">
        <v>1.2941074971961004E-4</v>
      </c>
      <c r="AO7" s="31">
        <v>1.4918006440597957E-3</v>
      </c>
      <c r="AP7" s="59">
        <v>-4.8380989776886508E-4</v>
      </c>
      <c r="AQ7" s="30">
        <v>-1.7215820315226323E-5</v>
      </c>
      <c r="AR7" s="30">
        <v>0</v>
      </c>
      <c r="AS7" s="30">
        <v>0</v>
      </c>
      <c r="AT7" s="30">
        <v>-3.5634199668601942E-5</v>
      </c>
      <c r="AU7" s="30">
        <v>-8.8977176319655678E-3</v>
      </c>
      <c r="AV7" s="31">
        <v>2.4438835900537318E-5</v>
      </c>
      <c r="AW7" s="31">
        <v>1.4237581393244133E-3</v>
      </c>
      <c r="AX7" s="31">
        <v>3.6851822506882078E-5</v>
      </c>
      <c r="AY7" s="31">
        <v>3.6851822506882078E-5</v>
      </c>
      <c r="AZ7" s="31">
        <v>3.1861091856304923E-5</v>
      </c>
      <c r="BA7" s="31">
        <v>3.315895810336893E-5</v>
      </c>
      <c r="BB7" s="31">
        <v>2.766623987353549E-5</v>
      </c>
      <c r="BC7" s="31">
        <v>1.0774778398724267E-3</v>
      </c>
      <c r="BD7" s="30">
        <v>1.2895281583214393E-2</v>
      </c>
      <c r="BE7" s="30">
        <v>0</v>
      </c>
      <c r="BF7" s="30">
        <v>1.8405232912263977E-2</v>
      </c>
      <c r="BG7" s="31">
        <v>1.3258225110575707E-2</v>
      </c>
      <c r="BH7" s="31">
        <v>2.6381396940885007E-4</v>
      </c>
      <c r="BI7" s="31">
        <v>3.018871896450523E-3</v>
      </c>
      <c r="BJ7" s="31">
        <v>-2.2412154608188982E-3</v>
      </c>
      <c r="BK7" s="32">
        <v>2.8370101047051061E-4</v>
      </c>
    </row>
    <row r="8" spans="1:63">
      <c r="A8" s="10">
        <v>3</v>
      </c>
      <c r="B8" s="10" t="s">
        <v>79</v>
      </c>
      <c r="C8" s="12" t="s">
        <v>210</v>
      </c>
      <c r="D8" s="38">
        <v>4.2291402427976084E-2</v>
      </c>
      <c r="E8" s="38">
        <v>0</v>
      </c>
      <c r="F8" s="38">
        <v>0.22684238806667523</v>
      </c>
      <c r="G8" s="38">
        <v>3.1805296273248978E-3</v>
      </c>
      <c r="H8" s="38">
        <v>1.0775342157319995E-3</v>
      </c>
      <c r="I8" s="38">
        <v>1.2158191750764583E-2</v>
      </c>
      <c r="J8" s="38">
        <v>0</v>
      </c>
      <c r="K8" s="38">
        <v>2.0342879229411736E-5</v>
      </c>
      <c r="L8" s="38">
        <v>3.9340822660313853E-4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1.494411945991836E-3</v>
      </c>
      <c r="X8" s="38">
        <v>2.024122256984322E-5</v>
      </c>
      <c r="Y8" s="38">
        <v>0</v>
      </c>
      <c r="Z8" s="38">
        <v>0</v>
      </c>
      <c r="AA8" s="38">
        <v>0</v>
      </c>
      <c r="AB8" s="38">
        <v>1.4309962406177076E-4</v>
      </c>
      <c r="AC8" s="38">
        <v>0</v>
      </c>
      <c r="AD8" s="38">
        <v>0</v>
      </c>
      <c r="AE8" s="38">
        <v>0</v>
      </c>
      <c r="AF8" s="38">
        <v>0</v>
      </c>
      <c r="AG8" s="38">
        <v>7.1246657833562096E-4</v>
      </c>
      <c r="AH8" s="38">
        <v>6.5462345858127947E-3</v>
      </c>
      <c r="AI8" s="38">
        <v>7.8138574221856775E-3</v>
      </c>
      <c r="AJ8" s="38">
        <v>1.5873395710194868E-3</v>
      </c>
      <c r="AK8" s="38">
        <v>3.4505206835711509E-6</v>
      </c>
      <c r="AL8" s="38">
        <v>0.10700760040604909</v>
      </c>
      <c r="AM8" s="38">
        <v>0</v>
      </c>
      <c r="AN8" s="38">
        <v>3.8679435193972335E-3</v>
      </c>
      <c r="AO8" s="31">
        <v>1.7025019349363773E-2</v>
      </c>
      <c r="AP8" s="59">
        <v>8.9939558821467133E-2</v>
      </c>
      <c r="AQ8" s="30">
        <v>9.74327024278029E-2</v>
      </c>
      <c r="AR8" s="30">
        <v>0</v>
      </c>
      <c r="AS8" s="30">
        <v>0</v>
      </c>
      <c r="AT8" s="30">
        <v>0</v>
      </c>
      <c r="AU8" s="30">
        <v>5.2434456928838954E-2</v>
      </c>
      <c r="AV8" s="31">
        <v>4.8325264012631611E-2</v>
      </c>
      <c r="AW8" s="31">
        <v>4.3362212281944534E-2</v>
      </c>
      <c r="AX8" s="31">
        <v>6.4903429799120713E-3</v>
      </c>
      <c r="AY8" s="31">
        <v>6.4903429799120713E-3</v>
      </c>
      <c r="AZ8" s="31">
        <v>0.14075349669007292</v>
      </c>
      <c r="BA8" s="31">
        <v>0.105837644157612</v>
      </c>
      <c r="BB8" s="31">
        <v>6.9611168023955838E-2</v>
      </c>
      <c r="BC8" s="31">
        <v>5.8919542927934228E-2</v>
      </c>
      <c r="BD8" s="30">
        <v>7.1073134557928228E-2</v>
      </c>
      <c r="BE8" s="30">
        <v>0.44991749174917489</v>
      </c>
      <c r="BF8" s="30">
        <v>0.19954450358835835</v>
      </c>
      <c r="BG8" s="31">
        <v>8.5924034372716535E-2</v>
      </c>
      <c r="BH8" s="31">
        <v>9.1588320805300494E-2</v>
      </c>
      <c r="BI8" s="31">
        <v>9.0387386259856844E-2</v>
      </c>
      <c r="BJ8" s="31">
        <v>5.3852043852275884E-2</v>
      </c>
      <c r="BK8" s="32">
        <v>4.6053301361213453E-2</v>
      </c>
    </row>
    <row r="9" spans="1:63">
      <c r="A9" s="10">
        <v>4</v>
      </c>
      <c r="B9" s="10" t="s">
        <v>81</v>
      </c>
      <c r="C9" s="12" t="s">
        <v>82</v>
      </c>
      <c r="D9" s="38">
        <v>2.5763272331944193E-3</v>
      </c>
      <c r="E9" s="38">
        <v>2.6072529035316427E-3</v>
      </c>
      <c r="F9" s="38">
        <v>7.8554824843182379E-4</v>
      </c>
      <c r="G9" s="38">
        <v>0.20452188342667496</v>
      </c>
      <c r="H9" s="38">
        <v>2.0826967304073724E-3</v>
      </c>
      <c r="I9" s="38">
        <v>1.608067388543647E-3</v>
      </c>
      <c r="J9" s="38">
        <v>4.9279290378218552E-4</v>
      </c>
      <c r="K9" s="38">
        <v>1.5918302997014683E-3</v>
      </c>
      <c r="L9" s="38">
        <v>2.8995643368157245E-3</v>
      </c>
      <c r="M9" s="38">
        <v>8.7990776139328845E-4</v>
      </c>
      <c r="N9" s="38">
        <v>2.1267935280350056E-3</v>
      </c>
      <c r="O9" s="38">
        <v>1.2152222577550367E-3</v>
      </c>
      <c r="P9" s="38">
        <v>1.3120534661787467E-3</v>
      </c>
      <c r="Q9" s="38">
        <v>1.3303252553675045E-3</v>
      </c>
      <c r="R9" s="38">
        <v>1.3556476473965294E-3</v>
      </c>
      <c r="S9" s="38">
        <v>3.9730589371550227E-3</v>
      </c>
      <c r="T9" s="38">
        <v>2.6140861901560982E-3</v>
      </c>
      <c r="U9" s="38">
        <v>1.1814204657331483E-3</v>
      </c>
      <c r="V9" s="38">
        <v>9.3114891853298624E-4</v>
      </c>
      <c r="W9" s="38">
        <v>7.1464291113773016E-3</v>
      </c>
      <c r="X9" s="38">
        <v>3.387324594405502E-3</v>
      </c>
      <c r="Y9" s="38">
        <v>3.1910819895332508E-4</v>
      </c>
      <c r="Z9" s="38">
        <v>8.3469808230757041E-4</v>
      </c>
      <c r="AA9" s="38">
        <v>2.7221134046506957E-3</v>
      </c>
      <c r="AB9" s="38">
        <v>4.3740210390929204E-3</v>
      </c>
      <c r="AC9" s="38">
        <v>1.3509762946516033E-3</v>
      </c>
      <c r="AD9" s="38">
        <v>3.8922219901010471E-5</v>
      </c>
      <c r="AE9" s="38">
        <v>1.059628937794019E-3</v>
      </c>
      <c r="AF9" s="38">
        <v>6.9879640444873298E-4</v>
      </c>
      <c r="AG9" s="38">
        <v>4.4921890495949728E-3</v>
      </c>
      <c r="AH9" s="38">
        <v>4.3904891977254533E-4</v>
      </c>
      <c r="AI9" s="38">
        <v>3.715640521772185E-3</v>
      </c>
      <c r="AJ9" s="38">
        <v>2.2940646262573087E-2</v>
      </c>
      <c r="AK9" s="38">
        <v>1.8333766565374716E-3</v>
      </c>
      <c r="AL9" s="38">
        <v>4.5501574741664283E-3</v>
      </c>
      <c r="AM9" s="38">
        <v>2.0088613584548543E-2</v>
      </c>
      <c r="AN9" s="38">
        <v>2.1568458286601674E-4</v>
      </c>
      <c r="AO9" s="31">
        <v>2.6500727240205794E-3</v>
      </c>
      <c r="AP9" s="59">
        <v>1.2382728687823417E-2</v>
      </c>
      <c r="AQ9" s="30">
        <v>1.2654558516573251E-2</v>
      </c>
      <c r="AR9" s="30">
        <v>0</v>
      </c>
      <c r="AS9" s="30">
        <v>2.3707035232041075E-5</v>
      </c>
      <c r="AT9" s="30">
        <v>1.3093023078234885E-3</v>
      </c>
      <c r="AU9" s="30">
        <v>3.0376394148198729E-2</v>
      </c>
      <c r="AV9" s="31">
        <v>6.4507264641058817E-3</v>
      </c>
      <c r="AW9" s="31">
        <v>6.1450016505222244E-3</v>
      </c>
      <c r="AX9" s="31">
        <v>9.8762884318443975E-4</v>
      </c>
      <c r="AY9" s="31">
        <v>9.8762884318443975E-4</v>
      </c>
      <c r="AZ9" s="31">
        <v>2.4551173058053499E-3</v>
      </c>
      <c r="BA9" s="31">
        <v>2.0734890679898559E-3</v>
      </c>
      <c r="BB9" s="31">
        <v>4.8306673600724938E-3</v>
      </c>
      <c r="BC9" s="31">
        <v>5.1311332293831717E-3</v>
      </c>
      <c r="BD9" s="30">
        <v>4.9113261422682873E-2</v>
      </c>
      <c r="BE9" s="30">
        <v>0.2382013201320132</v>
      </c>
      <c r="BF9" s="30">
        <v>5.2364432439112665E-2</v>
      </c>
      <c r="BG9" s="31">
        <v>5.1176655843098072E-2</v>
      </c>
      <c r="BH9" s="31">
        <v>5.6494592752838243E-3</v>
      </c>
      <c r="BI9" s="31">
        <v>1.5302075499098171E-2</v>
      </c>
      <c r="BJ9" s="31">
        <v>-3.1120784872007709E-3</v>
      </c>
      <c r="BK9" s="32">
        <v>9.7254508519435776E-4</v>
      </c>
    </row>
    <row r="10" spans="1:63">
      <c r="A10" s="10">
        <v>5</v>
      </c>
      <c r="B10" s="10" t="s">
        <v>83</v>
      </c>
      <c r="C10" s="12" t="s">
        <v>84</v>
      </c>
      <c r="D10" s="38">
        <v>5.1653945461134262E-2</v>
      </c>
      <c r="E10" s="38">
        <v>4.7404598246029864E-4</v>
      </c>
      <c r="F10" s="38">
        <v>1.7673375462860214E-2</v>
      </c>
      <c r="G10" s="38">
        <v>4.9090783378275601E-3</v>
      </c>
      <c r="H10" s="38">
        <v>0.29704562633686615</v>
      </c>
      <c r="I10" s="38">
        <v>2.5984565558803418E-2</v>
      </c>
      <c r="J10" s="38">
        <v>7.3918935567327828E-4</v>
      </c>
      <c r="K10" s="38">
        <v>5.533263150399992E-3</v>
      </c>
      <c r="L10" s="38">
        <v>1.3018898165552011E-2</v>
      </c>
      <c r="M10" s="38">
        <v>1.0922992900054614E-3</v>
      </c>
      <c r="N10" s="38">
        <v>3.4089752722092194E-3</v>
      </c>
      <c r="O10" s="38">
        <v>2.6637069922308544E-3</v>
      </c>
      <c r="P10" s="38">
        <v>1.9099944989424986E-3</v>
      </c>
      <c r="Q10" s="38">
        <v>1.0872370359887114E-3</v>
      </c>
      <c r="R10" s="38">
        <v>4.3708781798621199E-3</v>
      </c>
      <c r="S10" s="38">
        <v>5.3207485325776514E-3</v>
      </c>
      <c r="T10" s="38">
        <v>6.6061692434087682E-3</v>
      </c>
      <c r="U10" s="38">
        <v>6.3393845297290202E-3</v>
      </c>
      <c r="V10" s="38">
        <v>1.29736297490724E-3</v>
      </c>
      <c r="W10" s="38">
        <v>5.4188423831509416E-2</v>
      </c>
      <c r="X10" s="38">
        <v>4.3860969202539832E-2</v>
      </c>
      <c r="Y10" s="38">
        <v>9.5023330354990145E-4</v>
      </c>
      <c r="Z10" s="38">
        <v>3.6663320830471764E-3</v>
      </c>
      <c r="AA10" s="38">
        <v>4.5703380041183265E-3</v>
      </c>
      <c r="AB10" s="38">
        <v>7.4523870482771579E-3</v>
      </c>
      <c r="AC10" s="38">
        <v>4.5835238033043822E-3</v>
      </c>
      <c r="AD10" s="38">
        <v>4.1702378465368359E-4</v>
      </c>
      <c r="AE10" s="38">
        <v>3.5870520386652519E-3</v>
      </c>
      <c r="AF10" s="38">
        <v>1.131887664415215E-2</v>
      </c>
      <c r="AG10" s="38">
        <v>1.2646678461770376E-3</v>
      </c>
      <c r="AH10" s="38">
        <v>7.4790236402776491E-3</v>
      </c>
      <c r="AI10" s="38">
        <v>6.5535578379621812E-3</v>
      </c>
      <c r="AJ10" s="38">
        <v>1.8800800848708193E-2</v>
      </c>
      <c r="AK10" s="38">
        <v>4.6651039641881957E-3</v>
      </c>
      <c r="AL10" s="38">
        <v>4.8088185533199717E-3</v>
      </c>
      <c r="AM10" s="38">
        <v>0.43235686325117217</v>
      </c>
      <c r="AN10" s="38">
        <v>6.0391683202484683E-4</v>
      </c>
      <c r="AO10" s="31">
        <v>1.3310344966711025E-2</v>
      </c>
      <c r="AP10" s="59">
        <v>9.6060805788890594E-3</v>
      </c>
      <c r="AQ10" s="30">
        <v>1.6778445420731385E-3</v>
      </c>
      <c r="AR10" s="30">
        <v>1.4495004400269192E-5</v>
      </c>
      <c r="AS10" s="30">
        <v>2.8617778244392441E-4</v>
      </c>
      <c r="AT10" s="30">
        <v>2.439415497313436E-3</v>
      </c>
      <c r="AU10" s="30">
        <v>4.6206054586463055E-2</v>
      </c>
      <c r="AV10" s="31">
        <v>1.2769010204621756E-3</v>
      </c>
      <c r="AW10" s="31">
        <v>1.3300781331926312E-2</v>
      </c>
      <c r="AX10" s="31">
        <v>5.4835511890240533E-4</v>
      </c>
      <c r="AY10" s="31">
        <v>5.4835511890240533E-4</v>
      </c>
      <c r="AZ10" s="31">
        <v>1.6385149311955834E-2</v>
      </c>
      <c r="BA10" s="31">
        <v>1.2266706125187909E-2</v>
      </c>
      <c r="BB10" s="31">
        <v>5.3443372137244698E-3</v>
      </c>
      <c r="BC10" s="31">
        <v>1.3043280912624446E-2</v>
      </c>
      <c r="BD10" s="30">
        <v>2.3995517972363694E-2</v>
      </c>
      <c r="BE10" s="30">
        <v>2.6485148514851484E-2</v>
      </c>
      <c r="BF10" s="30">
        <v>2.4902235993043968E-2</v>
      </c>
      <c r="BG10" s="31">
        <v>2.4098600486207319E-2</v>
      </c>
      <c r="BH10" s="31">
        <v>2.4597730657207766E-2</v>
      </c>
      <c r="BI10" s="31">
        <v>2.4491905736070404E-2</v>
      </c>
      <c r="BJ10" s="31">
        <v>-9.1794277228597239E-3</v>
      </c>
      <c r="BK10" s="32">
        <v>8.3622873335130986E-3</v>
      </c>
    </row>
    <row r="11" spans="1:63">
      <c r="A11" s="10">
        <v>6</v>
      </c>
      <c r="B11" s="10" t="s">
        <v>85</v>
      </c>
      <c r="C11" s="12" t="s">
        <v>86</v>
      </c>
      <c r="D11" s="38">
        <v>4.73874343178112E-2</v>
      </c>
      <c r="E11" s="38">
        <v>3.3183218772220905E-3</v>
      </c>
      <c r="F11" s="38">
        <v>1.2383335864219884E-2</v>
      </c>
      <c r="G11" s="38">
        <v>0.10315978704279886</v>
      </c>
      <c r="H11" s="38">
        <v>2.4485758857492081E-2</v>
      </c>
      <c r="I11" s="38">
        <v>0.23291428399672376</v>
      </c>
      <c r="J11" s="38">
        <v>3.6713071331772824E-2</v>
      </c>
      <c r="K11" s="38">
        <v>0.16394326370982917</v>
      </c>
      <c r="L11" s="38">
        <v>6.701781993559762E-2</v>
      </c>
      <c r="M11" s="38">
        <v>3.6106559864069422E-3</v>
      </c>
      <c r="N11" s="38">
        <v>1.1559987788745294E-2</v>
      </c>
      <c r="O11" s="38">
        <v>1.0018999604958709E-2</v>
      </c>
      <c r="P11" s="38">
        <v>4.6400224142467139E-3</v>
      </c>
      <c r="Q11" s="38">
        <v>3.8028321442545431E-3</v>
      </c>
      <c r="R11" s="38">
        <v>8.1821295728986259E-3</v>
      </c>
      <c r="S11" s="38">
        <v>1.1376600480840373E-2</v>
      </c>
      <c r="T11" s="38">
        <v>1.0194936141608784E-2</v>
      </c>
      <c r="U11" s="38">
        <v>1.0761789874638161E-2</v>
      </c>
      <c r="V11" s="38">
        <v>1.2468311128649011E-2</v>
      </c>
      <c r="W11" s="38">
        <v>3.0149906381197158E-2</v>
      </c>
      <c r="X11" s="38">
        <v>4.6422803937357813E-3</v>
      </c>
      <c r="Y11" s="38">
        <v>5.9921428470124385E-4</v>
      </c>
      <c r="Z11" s="38">
        <v>8.8118759575254897E-3</v>
      </c>
      <c r="AA11" s="38">
        <v>1.552910451509216E-2</v>
      </c>
      <c r="AB11" s="38">
        <v>1.0344551136995477E-5</v>
      </c>
      <c r="AC11" s="38">
        <v>2.6529745967478614E-5</v>
      </c>
      <c r="AD11" s="38">
        <v>3.5744895827458595E-5</v>
      </c>
      <c r="AE11" s="38">
        <v>4.4658077589808355E-4</v>
      </c>
      <c r="AF11" s="38">
        <v>8.7755827535422278E-4</v>
      </c>
      <c r="AG11" s="38">
        <v>8.8225260034433244E-4</v>
      </c>
      <c r="AH11" s="38">
        <v>1.0332082018591975E-2</v>
      </c>
      <c r="AI11" s="38">
        <v>0.14337804337877755</v>
      </c>
      <c r="AJ11" s="38">
        <v>2.3211850008375409E-3</v>
      </c>
      <c r="AK11" s="38">
        <v>4.2303383580582308E-3</v>
      </c>
      <c r="AL11" s="38">
        <v>8.6919883391030472E-3</v>
      </c>
      <c r="AM11" s="38">
        <v>9.3345377898223433E-3</v>
      </c>
      <c r="AN11" s="38">
        <v>3.6235009921490812E-3</v>
      </c>
      <c r="AO11" s="31">
        <v>2.269318936016983E-2</v>
      </c>
      <c r="AP11" s="59">
        <v>2.0951072094686506E-2</v>
      </c>
      <c r="AQ11" s="30">
        <v>9.113217748487102E-3</v>
      </c>
      <c r="AR11" s="30">
        <v>0</v>
      </c>
      <c r="AS11" s="30">
        <v>0</v>
      </c>
      <c r="AT11" s="30">
        <v>0</v>
      </c>
      <c r="AU11" s="30">
        <v>-5.4462308854263661E-2</v>
      </c>
      <c r="AV11" s="31">
        <v>5.0445361182344124E-3</v>
      </c>
      <c r="AW11" s="31">
        <v>2.4295089731336674E-2</v>
      </c>
      <c r="AX11" s="31">
        <v>1.7533360112324356E-2</v>
      </c>
      <c r="AY11" s="31">
        <v>1.7533360112324356E-2</v>
      </c>
      <c r="AZ11" s="31">
        <v>2.6122986922964542E-2</v>
      </c>
      <c r="BA11" s="31">
        <v>2.3889208445835801E-2</v>
      </c>
      <c r="BB11" s="31">
        <v>1.20191368090596E-2</v>
      </c>
      <c r="BC11" s="31">
        <v>2.4194019131710844E-2</v>
      </c>
      <c r="BD11" s="30">
        <v>7.7730011110547809E-2</v>
      </c>
      <c r="BE11" s="30">
        <v>4.7277227722772278E-2</v>
      </c>
      <c r="BF11" s="30">
        <v>8.0179726878702007E-2</v>
      </c>
      <c r="BG11" s="31">
        <v>7.7658975365392402E-2</v>
      </c>
      <c r="BH11" s="31">
        <v>5.7127412337686055E-2</v>
      </c>
      <c r="BI11" s="31">
        <v>6.148048727579046E-2</v>
      </c>
      <c r="BJ11" s="31">
        <v>-2.5498160846068194E-2</v>
      </c>
      <c r="BK11" s="32">
        <v>8.9487193108331552E-3</v>
      </c>
    </row>
    <row r="12" spans="1:63">
      <c r="A12" s="10">
        <v>7</v>
      </c>
      <c r="B12" s="10" t="s">
        <v>87</v>
      </c>
      <c r="C12" s="12" t="s">
        <v>88</v>
      </c>
      <c r="D12" s="38">
        <v>1.0933819532524008E-2</v>
      </c>
      <c r="E12" s="38">
        <v>2.1569092201943588E-2</v>
      </c>
      <c r="F12" s="38">
        <v>3.4940835659802122E-3</v>
      </c>
      <c r="G12" s="38">
        <v>3.3188135241651109E-3</v>
      </c>
      <c r="H12" s="38">
        <v>2.3721835346338796E-3</v>
      </c>
      <c r="I12" s="38">
        <v>5.3952915185716752E-3</v>
      </c>
      <c r="J12" s="38">
        <v>0.23654059381544906</v>
      </c>
      <c r="K12" s="38">
        <v>9.1542956532352805E-4</v>
      </c>
      <c r="L12" s="38">
        <v>3.0314289461030729E-2</v>
      </c>
      <c r="M12" s="38">
        <v>1.1347775957278962E-2</v>
      </c>
      <c r="N12" s="38">
        <v>6.3702045385163322E-3</v>
      </c>
      <c r="O12" s="38">
        <v>4.7329708986248798E-3</v>
      </c>
      <c r="P12" s="38">
        <v>1.2197997068380537E-3</v>
      </c>
      <c r="Q12" s="38">
        <v>9.0575336535659873E-4</v>
      </c>
      <c r="R12" s="38">
        <v>8.6838639335008998E-4</v>
      </c>
      <c r="S12" s="38">
        <v>1.3158669367349634E-3</v>
      </c>
      <c r="T12" s="38">
        <v>7.1700649787138698E-4</v>
      </c>
      <c r="U12" s="38">
        <v>2.6253788127403294E-4</v>
      </c>
      <c r="V12" s="38">
        <v>3.2817321640979638E-3</v>
      </c>
      <c r="W12" s="38">
        <v>2.1282286857315642E-3</v>
      </c>
      <c r="X12" s="38">
        <v>1.29077396274735E-2</v>
      </c>
      <c r="Y12" s="38">
        <v>4.7511665177495076E-3</v>
      </c>
      <c r="Z12" s="38">
        <v>1.223519467483755E-2</v>
      </c>
      <c r="AA12" s="38">
        <v>1.2324845562754256E-2</v>
      </c>
      <c r="AB12" s="38">
        <v>1.4732364910937726E-3</v>
      </c>
      <c r="AC12" s="38">
        <v>5.5508391562724487E-4</v>
      </c>
      <c r="AD12" s="38">
        <v>3.2567571753906716E-4</v>
      </c>
      <c r="AE12" s="38">
        <v>0.13099862824471345</v>
      </c>
      <c r="AF12" s="38">
        <v>8.1052257376466408E-4</v>
      </c>
      <c r="AG12" s="38">
        <v>7.2182861132488634E-3</v>
      </c>
      <c r="AH12" s="38">
        <v>3.1736096657607169E-3</v>
      </c>
      <c r="AI12" s="38">
        <v>2.4896015087702982E-3</v>
      </c>
      <c r="AJ12" s="38">
        <v>3.382070241770163E-3</v>
      </c>
      <c r="AK12" s="38">
        <v>2.0220051205726945E-3</v>
      </c>
      <c r="AL12" s="38">
        <v>4.4541763190088235E-3</v>
      </c>
      <c r="AM12" s="38">
        <v>0</v>
      </c>
      <c r="AN12" s="38">
        <v>9.4901216461047364E-3</v>
      </c>
      <c r="AO12" s="31">
        <v>9.2767338946385964E-3</v>
      </c>
      <c r="AP12" s="59">
        <v>1.6056879215807262E-3</v>
      </c>
      <c r="AQ12" s="30">
        <v>2.4076324710844012E-2</v>
      </c>
      <c r="AR12" s="30">
        <v>0</v>
      </c>
      <c r="AS12" s="30">
        <v>0</v>
      </c>
      <c r="AT12" s="30">
        <v>0</v>
      </c>
      <c r="AU12" s="30">
        <v>-6.8077886067829576E-3</v>
      </c>
      <c r="AV12" s="31">
        <v>1.1717915018171456E-2</v>
      </c>
      <c r="AW12" s="31">
        <v>1.538055373399988E-2</v>
      </c>
      <c r="AX12" s="31">
        <v>8.8444374016516978E-6</v>
      </c>
      <c r="AY12" s="31">
        <v>8.8444374016516978E-6</v>
      </c>
      <c r="AZ12" s="31">
        <v>1.087939721922607E-5</v>
      </c>
      <c r="BA12" s="31">
        <v>1.0350195014924406E-5</v>
      </c>
      <c r="BB12" s="31">
        <v>7.3848288130126099E-3</v>
      </c>
      <c r="BC12" s="31">
        <v>1.1553139799062672E-2</v>
      </c>
      <c r="BD12" s="30">
        <v>1.7192563065033223E-2</v>
      </c>
      <c r="BE12" s="30">
        <v>9.4059405940594056E-3</v>
      </c>
      <c r="BF12" s="30">
        <v>3.5309799352065178E-2</v>
      </c>
      <c r="BG12" s="31">
        <v>1.8711379950696654E-2</v>
      </c>
      <c r="BH12" s="31">
        <v>4.3792075353952145E-2</v>
      </c>
      <c r="BI12" s="31">
        <v>3.8474499364106116E-2</v>
      </c>
      <c r="BJ12" s="31">
        <v>-1.6197228956513734E-2</v>
      </c>
      <c r="BK12" s="32">
        <v>5.4581680540154891E-4</v>
      </c>
    </row>
    <row r="13" spans="1:63">
      <c r="A13" s="10">
        <v>8</v>
      </c>
      <c r="B13" s="10" t="s">
        <v>89</v>
      </c>
      <c r="C13" s="12" t="s">
        <v>211</v>
      </c>
      <c r="D13" s="38">
        <v>1.5183343902880956E-2</v>
      </c>
      <c r="E13" s="38">
        <v>3.55534486845224E-3</v>
      </c>
      <c r="F13" s="38">
        <v>3.0471387354133326E-2</v>
      </c>
      <c r="G13" s="38">
        <v>1.0855285901956717E-2</v>
      </c>
      <c r="H13" s="38">
        <v>1.5720741729522831E-2</v>
      </c>
      <c r="I13" s="38">
        <v>5.2277218794851178E-2</v>
      </c>
      <c r="J13" s="38">
        <v>7.3918935567327828E-4</v>
      </c>
      <c r="K13" s="38">
        <v>0.2185079515229188</v>
      </c>
      <c r="L13" s="38">
        <v>3.4095379638938673E-3</v>
      </c>
      <c r="M13" s="38">
        <v>4.2478305722434611E-4</v>
      </c>
      <c r="N13" s="38">
        <v>7.6116821003358098E-3</v>
      </c>
      <c r="O13" s="38">
        <v>3.1565680317537951E-3</v>
      </c>
      <c r="P13" s="38">
        <v>1.2464507928698094E-2</v>
      </c>
      <c r="Q13" s="38">
        <v>1.9325513440614048E-2</v>
      </c>
      <c r="R13" s="38">
        <v>4.2174632503702701E-2</v>
      </c>
      <c r="S13" s="38">
        <v>1.3494398416504504E-2</v>
      </c>
      <c r="T13" s="38">
        <v>2.6633803868847561E-2</v>
      </c>
      <c r="U13" s="38">
        <v>4.6290407635325832E-2</v>
      </c>
      <c r="V13" s="38">
        <v>4.7590794116728605E-2</v>
      </c>
      <c r="W13" s="38">
        <v>4.6815216253619736E-2</v>
      </c>
      <c r="X13" s="38">
        <v>1.4232219626065414E-2</v>
      </c>
      <c r="Y13" s="38">
        <v>0</v>
      </c>
      <c r="Z13" s="38">
        <v>3.9452691637170481E-2</v>
      </c>
      <c r="AA13" s="38">
        <v>2.0541409271257093E-2</v>
      </c>
      <c r="AB13" s="38">
        <v>5.9800126031114686E-3</v>
      </c>
      <c r="AC13" s="38">
        <v>2.5203258669104682E-3</v>
      </c>
      <c r="AD13" s="38">
        <v>6.0528023601163215E-4</v>
      </c>
      <c r="AE13" s="38">
        <v>4.648281624401558E-3</v>
      </c>
      <c r="AF13" s="38">
        <v>2.5737646640597227E-3</v>
      </c>
      <c r="AG13" s="38">
        <v>1.6328020247379821E-3</v>
      </c>
      <c r="AH13" s="38">
        <v>4.4436612122307787E-3</v>
      </c>
      <c r="AI13" s="38">
        <v>2.2114382995662776E-3</v>
      </c>
      <c r="AJ13" s="38">
        <v>7.7931194014373801E-3</v>
      </c>
      <c r="AK13" s="38">
        <v>1.2255099294483537E-2</v>
      </c>
      <c r="AL13" s="38">
        <v>2.5768499960956816E-3</v>
      </c>
      <c r="AM13" s="38">
        <v>4.6113477007785952E-2</v>
      </c>
      <c r="AN13" s="38">
        <v>2.0561930233226927E-3</v>
      </c>
      <c r="AO13" s="31">
        <v>1.4886805381375792E-2</v>
      </c>
      <c r="AP13" s="59">
        <v>2.5172138159278634E-3</v>
      </c>
      <c r="AQ13" s="30">
        <v>2.8378185973666308E-3</v>
      </c>
      <c r="AR13" s="30">
        <v>2.4848578971890047E-5</v>
      </c>
      <c r="AS13" s="30">
        <v>0</v>
      </c>
      <c r="AT13" s="30">
        <v>-4.0724799621259364E-6</v>
      </c>
      <c r="AU13" s="30">
        <v>3.0521240714300495E-2</v>
      </c>
      <c r="AV13" s="31">
        <v>1.2525748059252352E-3</v>
      </c>
      <c r="AW13" s="31">
        <v>1.4777035865460258E-2</v>
      </c>
      <c r="AX13" s="31">
        <v>2.2691141190387572E-2</v>
      </c>
      <c r="AY13" s="31">
        <v>2.2691141190387572E-2</v>
      </c>
      <c r="AZ13" s="31">
        <v>3.6727031779237342E-2</v>
      </c>
      <c r="BA13" s="31">
        <v>3.3076923224361753E-2</v>
      </c>
      <c r="BB13" s="31">
        <v>1.3031082736741612E-2</v>
      </c>
      <c r="BC13" s="31">
        <v>1.9333985531584611E-2</v>
      </c>
      <c r="BD13" s="30">
        <v>2.2981562333782166E-2</v>
      </c>
      <c r="BE13" s="30">
        <v>5.5940594059405942E-2</v>
      </c>
      <c r="BF13" s="30">
        <v>2.4204867455840683E-2</v>
      </c>
      <c r="BG13" s="31">
        <v>2.3398921159637036E-2</v>
      </c>
      <c r="BH13" s="31">
        <v>3.7210709928818232E-2</v>
      </c>
      <c r="BI13" s="31">
        <v>3.4282352674166919E-2</v>
      </c>
      <c r="BJ13" s="31">
        <v>-3.088376442362989E-3</v>
      </c>
      <c r="BK13" s="32">
        <v>1.3222054038351751E-2</v>
      </c>
    </row>
    <row r="14" spans="1:63">
      <c r="A14" s="10">
        <v>9</v>
      </c>
      <c r="B14" s="10" t="s">
        <v>91</v>
      </c>
      <c r="C14" s="12" t="s">
        <v>92</v>
      </c>
      <c r="D14" s="38">
        <v>3.2388113788729841E-3</v>
      </c>
      <c r="E14" s="38">
        <v>0</v>
      </c>
      <c r="F14" s="38">
        <v>2.3581048721512923E-3</v>
      </c>
      <c r="G14" s="38">
        <v>4.8399363894074536E-4</v>
      </c>
      <c r="H14" s="38">
        <v>1.3991862204281189E-3</v>
      </c>
      <c r="I14" s="38">
        <v>1.302234011376701E-2</v>
      </c>
      <c r="J14" s="38">
        <v>2.5748429222619194E-2</v>
      </c>
      <c r="K14" s="38">
        <v>3.0412604447970543E-3</v>
      </c>
      <c r="L14" s="38">
        <v>8.952951290233277E-2</v>
      </c>
      <c r="M14" s="38">
        <v>5.6132046847502878E-3</v>
      </c>
      <c r="N14" s="38">
        <v>2.1593568739187951E-2</v>
      </c>
      <c r="O14" s="38">
        <v>5.9218570702985387E-3</v>
      </c>
      <c r="P14" s="38">
        <v>8.52151391835884E-3</v>
      </c>
      <c r="Q14" s="38">
        <v>4.1774544001465189E-3</v>
      </c>
      <c r="R14" s="38">
        <v>4.5706070503326403E-2</v>
      </c>
      <c r="S14" s="38">
        <v>4.8273382096253994E-2</v>
      </c>
      <c r="T14" s="38">
        <v>7.7003510344312498E-3</v>
      </c>
      <c r="U14" s="38">
        <v>2.4941098721033132E-3</v>
      </c>
      <c r="V14" s="38">
        <v>2.5691761319279042E-3</v>
      </c>
      <c r="W14" s="38">
        <v>5.6810913277588471E-3</v>
      </c>
      <c r="X14" s="38">
        <v>5.276974729273648E-2</v>
      </c>
      <c r="Y14" s="38">
        <v>1.0636939965110837E-4</v>
      </c>
      <c r="Z14" s="38">
        <v>5.2934650536214274E-3</v>
      </c>
      <c r="AA14" s="38">
        <v>5.0223494550750839E-4</v>
      </c>
      <c r="AB14" s="38">
        <v>2.1033920645224135E-4</v>
      </c>
      <c r="AC14" s="38">
        <v>1.2244498138836283E-5</v>
      </c>
      <c r="AD14" s="38">
        <v>7.3872784710081094E-5</v>
      </c>
      <c r="AE14" s="38">
        <v>2.4009719134305568E-5</v>
      </c>
      <c r="AF14" s="38">
        <v>8.1255395866131729E-6</v>
      </c>
      <c r="AG14" s="38">
        <v>2.2373672059091882E-4</v>
      </c>
      <c r="AH14" s="38">
        <v>1.8503861047853294E-3</v>
      </c>
      <c r="AI14" s="38">
        <v>8.1735934200125786E-4</v>
      </c>
      <c r="AJ14" s="38">
        <v>4.7061826477462173E-4</v>
      </c>
      <c r="AK14" s="38">
        <v>1.2835936942884681E-3</v>
      </c>
      <c r="AL14" s="38">
        <v>1.0899554907727947E-3</v>
      </c>
      <c r="AM14" s="38">
        <v>5.3770378973631008E-3</v>
      </c>
      <c r="AN14" s="38">
        <v>2.7607626606850144E-3</v>
      </c>
      <c r="AO14" s="31">
        <v>9.208347090265875E-3</v>
      </c>
      <c r="AP14" s="59">
        <v>1.0096902214306749E-3</v>
      </c>
      <c r="AQ14" s="30">
        <v>2.9080777559503923E-4</v>
      </c>
      <c r="AR14" s="30">
        <v>0</v>
      </c>
      <c r="AS14" s="30">
        <v>0</v>
      </c>
      <c r="AT14" s="30">
        <v>0</v>
      </c>
      <c r="AU14" s="30">
        <v>0.13783185382912244</v>
      </c>
      <c r="AV14" s="31">
        <v>-5.9317672206511544E-4</v>
      </c>
      <c r="AW14" s="31">
        <v>8.3684718096269737E-3</v>
      </c>
      <c r="AX14" s="31">
        <v>2.2674189352034406E-2</v>
      </c>
      <c r="AY14" s="31">
        <v>2.2674189352034406E-2</v>
      </c>
      <c r="AZ14" s="31">
        <v>1.6016544972837773E-2</v>
      </c>
      <c r="BA14" s="31">
        <v>1.7747901066702598E-2</v>
      </c>
      <c r="BB14" s="31">
        <v>6.1950386202973863E-3</v>
      </c>
      <c r="BC14" s="31">
        <v>1.0704092034123997E-2</v>
      </c>
      <c r="BD14" s="30">
        <v>1.0508189410350425E-2</v>
      </c>
      <c r="BE14" s="30">
        <v>3.1353135313531354E-3</v>
      </c>
      <c r="BF14" s="30">
        <v>1.0822453501407979E-2</v>
      </c>
      <c r="BG14" s="31">
        <v>1.0466489083606249E-2</v>
      </c>
      <c r="BH14" s="31">
        <v>1.5343370369558707E-2</v>
      </c>
      <c r="BI14" s="31">
        <v>1.4309380425717512E-2</v>
      </c>
      <c r="BJ14" s="31">
        <v>4.0168728619819948E-5</v>
      </c>
      <c r="BK14" s="32">
        <v>9.2299995494674637E-3</v>
      </c>
    </row>
    <row r="15" spans="1:63">
      <c r="A15" s="10">
        <v>10</v>
      </c>
      <c r="B15" s="10" t="s">
        <v>93</v>
      </c>
      <c r="C15" s="12" t="s">
        <v>94</v>
      </c>
      <c r="D15" s="38">
        <v>3.9635803587606453E-5</v>
      </c>
      <c r="E15" s="38">
        <v>2.1332069210713441E-3</v>
      </c>
      <c r="F15" s="38">
        <v>0</v>
      </c>
      <c r="G15" s="38">
        <v>2.0742584526031943E-4</v>
      </c>
      <c r="H15" s="38">
        <v>1.2118239276926294E-2</v>
      </c>
      <c r="I15" s="38">
        <v>0</v>
      </c>
      <c r="J15" s="38">
        <v>0</v>
      </c>
      <c r="K15" s="38">
        <v>1.6274303383529388E-3</v>
      </c>
      <c r="L15" s="38">
        <v>3.8976555783829464E-3</v>
      </c>
      <c r="M15" s="38">
        <v>0.3572425511256751</v>
      </c>
      <c r="N15" s="38">
        <v>1.4653505647705301E-3</v>
      </c>
      <c r="O15" s="38">
        <v>0.20884892492334317</v>
      </c>
      <c r="P15" s="38">
        <v>9.2205924058072028E-2</v>
      </c>
      <c r="Q15" s="38">
        <v>8.3888745514939106E-2</v>
      </c>
      <c r="R15" s="38">
        <v>1.6127865072051949E-2</v>
      </c>
      <c r="S15" s="38">
        <v>7.0598568298585644E-3</v>
      </c>
      <c r="T15" s="38">
        <v>4.1922473672417658E-2</v>
      </c>
      <c r="U15" s="38">
        <v>9.3449906187972592E-3</v>
      </c>
      <c r="V15" s="38">
        <v>5.306413288176396E-2</v>
      </c>
      <c r="W15" s="38">
        <v>6.2218707479037528E-3</v>
      </c>
      <c r="X15" s="38">
        <v>1.9208040165626005E-2</v>
      </c>
      <c r="Y15" s="38">
        <v>0</v>
      </c>
      <c r="Z15" s="38">
        <v>3.1697395530667231E-5</v>
      </c>
      <c r="AA15" s="38">
        <v>0</v>
      </c>
      <c r="AB15" s="38">
        <v>0</v>
      </c>
      <c r="AC15" s="38">
        <v>0</v>
      </c>
      <c r="AD15" s="38">
        <v>0</v>
      </c>
      <c r="AE15" s="38">
        <v>1.3285377920982413E-4</v>
      </c>
      <c r="AF15" s="38">
        <v>0</v>
      </c>
      <c r="AG15" s="38">
        <v>1.9041423029014368E-5</v>
      </c>
      <c r="AH15" s="38">
        <v>0</v>
      </c>
      <c r="AI15" s="38">
        <v>3.262911544915201E-6</v>
      </c>
      <c r="AJ15" s="38">
        <v>7.9765807588918942E-6</v>
      </c>
      <c r="AK15" s="38">
        <v>1.8977863759641329E-4</v>
      </c>
      <c r="AL15" s="38">
        <v>3.2535984799187903E-5</v>
      </c>
      <c r="AM15" s="38">
        <v>4.3016303178904802E-5</v>
      </c>
      <c r="AN15" s="38">
        <v>2.5019411612457942E-3</v>
      </c>
      <c r="AO15" s="31">
        <v>1.4280738254717647E-2</v>
      </c>
      <c r="AP15" s="59">
        <v>0</v>
      </c>
      <c r="AQ15" s="30">
        <v>-1.1167018582849507E-4</v>
      </c>
      <c r="AR15" s="30">
        <v>0</v>
      </c>
      <c r="AS15" s="30">
        <v>-8.0434583822996497E-4</v>
      </c>
      <c r="AT15" s="30">
        <v>-1.1601477292106262E-3</v>
      </c>
      <c r="AU15" s="30">
        <v>3.461832929832185E-2</v>
      </c>
      <c r="AV15" s="31">
        <v>-5.5263303117021481E-4</v>
      </c>
      <c r="AW15" s="31">
        <v>1.3185492640526682E-2</v>
      </c>
      <c r="AX15" s="31">
        <v>4.2814447388495602E-3</v>
      </c>
      <c r="AY15" s="31">
        <v>4.2814447388495602E-3</v>
      </c>
      <c r="AZ15" s="31">
        <v>4.0100940083533047E-3</v>
      </c>
      <c r="BA15" s="31">
        <v>4.080660219772974E-3</v>
      </c>
      <c r="BB15" s="31">
        <v>1.1621948919182869E-3</v>
      </c>
      <c r="BC15" s="31">
        <v>1.0918251195475386E-2</v>
      </c>
      <c r="BD15" s="30">
        <v>8.7758719803670698E-3</v>
      </c>
      <c r="BE15" s="30">
        <v>0</v>
      </c>
      <c r="BF15" s="30">
        <v>9.0128262846146372E-3</v>
      </c>
      <c r="BG15" s="31">
        <v>8.7141879763753503E-3</v>
      </c>
      <c r="BH15" s="31">
        <v>3.8521013805359973E-2</v>
      </c>
      <c r="BI15" s="31">
        <v>3.2201409870408558E-2</v>
      </c>
      <c r="BJ15" s="31">
        <v>-2.2381591445108685E-2</v>
      </c>
      <c r="BK15" s="32">
        <v>2.2162166160433964E-3</v>
      </c>
    </row>
    <row r="16" spans="1:63">
      <c r="A16" s="10">
        <v>11</v>
      </c>
      <c r="B16" s="10" t="s">
        <v>95</v>
      </c>
      <c r="C16" s="12" t="s">
        <v>96</v>
      </c>
      <c r="D16" s="38">
        <v>0</v>
      </c>
      <c r="E16" s="38">
        <v>0</v>
      </c>
      <c r="F16" s="38">
        <v>1.4703477438119824E-3</v>
      </c>
      <c r="G16" s="38">
        <v>0</v>
      </c>
      <c r="H16" s="38">
        <v>2.9672397433217002E-3</v>
      </c>
      <c r="I16" s="38">
        <v>4.3733421501514136E-3</v>
      </c>
      <c r="J16" s="38">
        <v>0</v>
      </c>
      <c r="K16" s="38">
        <v>2.5835456621352902E-3</v>
      </c>
      <c r="L16" s="38">
        <v>1.2756626014483251E-2</v>
      </c>
      <c r="M16" s="38">
        <v>1.2136658777838461E-3</v>
      </c>
      <c r="N16" s="38">
        <v>0.52933753943217665</v>
      </c>
      <c r="O16" s="38">
        <v>3.9421358565811998E-2</v>
      </c>
      <c r="P16" s="38">
        <v>3.1263773998790448E-2</v>
      </c>
      <c r="Q16" s="38">
        <v>1.9933233989061029E-2</v>
      </c>
      <c r="R16" s="38">
        <v>3.9574297692504382E-2</v>
      </c>
      <c r="S16" s="38">
        <v>5.7864731424716341E-2</v>
      </c>
      <c r="T16" s="38">
        <v>5.7995369333034584E-2</v>
      </c>
      <c r="U16" s="38">
        <v>4.5145199291147721E-2</v>
      </c>
      <c r="V16" s="38">
        <v>3.8625646907194548E-2</v>
      </c>
      <c r="W16" s="38">
        <v>1.6293160594043284E-2</v>
      </c>
      <c r="X16" s="38">
        <v>8.5523565623363655E-3</v>
      </c>
      <c r="Y16" s="38">
        <v>9.3250507027471674E-4</v>
      </c>
      <c r="Z16" s="38">
        <v>2.113159702044482E-4</v>
      </c>
      <c r="AA16" s="38">
        <v>0</v>
      </c>
      <c r="AB16" s="38">
        <v>1.2930688921244347E-5</v>
      </c>
      <c r="AC16" s="38">
        <v>0</v>
      </c>
      <c r="AD16" s="38">
        <v>0</v>
      </c>
      <c r="AE16" s="38">
        <v>1.6006479422870379E-6</v>
      </c>
      <c r="AF16" s="38">
        <v>9.9537859936011376E-5</v>
      </c>
      <c r="AG16" s="38">
        <v>1.317031759506827E-4</v>
      </c>
      <c r="AH16" s="38">
        <v>1.0026722735289962E-4</v>
      </c>
      <c r="AI16" s="38">
        <v>1.4854404808226454E-3</v>
      </c>
      <c r="AJ16" s="38">
        <v>2.1536768049008111E-4</v>
      </c>
      <c r="AK16" s="38">
        <v>3.7380640738687469E-4</v>
      </c>
      <c r="AL16" s="38">
        <v>4.0344621150992997E-4</v>
      </c>
      <c r="AM16" s="38">
        <v>9.463586699359057E-4</v>
      </c>
      <c r="AN16" s="38">
        <v>2.1856037730423029E-3</v>
      </c>
      <c r="AO16" s="31">
        <v>1.3256415549693402E-2</v>
      </c>
      <c r="AP16" s="59">
        <v>1.4023475297648264E-4</v>
      </c>
      <c r="AQ16" s="30">
        <v>6.3535682812004173E-4</v>
      </c>
      <c r="AR16" s="30">
        <v>0</v>
      </c>
      <c r="AS16" s="30">
        <v>0</v>
      </c>
      <c r="AT16" s="30">
        <v>-1.1296041294946817E-3</v>
      </c>
      <c r="AU16" s="30">
        <v>2.8203695656672252E-2</v>
      </c>
      <c r="AV16" s="31">
        <v>-9.3588353149062252E-5</v>
      </c>
      <c r="AW16" s="31">
        <v>1.2476409988957961E-2</v>
      </c>
      <c r="AX16" s="31">
        <v>1.2461075262477106E-2</v>
      </c>
      <c r="AY16" s="31">
        <v>1.2461075262477106E-2</v>
      </c>
      <c r="AZ16" s="31">
        <v>1.8117304769216903E-2</v>
      </c>
      <c r="BA16" s="31">
        <v>1.6646371978725365E-2</v>
      </c>
      <c r="BB16" s="31">
        <v>6.1020374908763476E-3</v>
      </c>
      <c r="BC16" s="31">
        <v>1.3514793806538054E-2</v>
      </c>
      <c r="BD16" s="30">
        <v>5.6188609497327194E-2</v>
      </c>
      <c r="BE16" s="30">
        <v>1.4191419141914191E-2</v>
      </c>
      <c r="BF16" s="30">
        <v>5.7872761138034835E-2</v>
      </c>
      <c r="BG16" s="31">
        <v>5.5941766822168199E-2</v>
      </c>
      <c r="BH16" s="31">
        <v>2.353663079923736E-2</v>
      </c>
      <c r="BI16" s="31">
        <v>3.0407125037641331E-2</v>
      </c>
      <c r="BJ16" s="31">
        <v>-1.2333795647955274E-2</v>
      </c>
      <c r="BK16" s="32">
        <v>6.60803467621168E-3</v>
      </c>
    </row>
    <row r="17" spans="1:63">
      <c r="A17" s="10">
        <v>12</v>
      </c>
      <c r="B17" s="10" t="s">
        <v>97</v>
      </c>
      <c r="C17" s="12" t="s">
        <v>98</v>
      </c>
      <c r="D17" s="38">
        <v>2.330019025185722E-3</v>
      </c>
      <c r="E17" s="38">
        <v>9.0068736667456746E-3</v>
      </c>
      <c r="F17" s="38">
        <v>1.3542676587741944E-2</v>
      </c>
      <c r="G17" s="38">
        <v>1.3828389684021295E-3</v>
      </c>
      <c r="H17" s="38">
        <v>1.4096399105807426E-2</v>
      </c>
      <c r="I17" s="38">
        <v>1.7568511936518909E-2</v>
      </c>
      <c r="J17" s="38">
        <v>1.2319822594554638E-4</v>
      </c>
      <c r="K17" s="38">
        <v>3.5345752661102891E-3</v>
      </c>
      <c r="L17" s="38">
        <v>8.4145648467893516E-3</v>
      </c>
      <c r="M17" s="38">
        <v>6.9785787972571154E-3</v>
      </c>
      <c r="N17" s="38">
        <v>4.6504528340286962E-3</v>
      </c>
      <c r="O17" s="38">
        <v>6.6340600838992458E-2</v>
      </c>
      <c r="P17" s="38">
        <v>3.6286478674005966E-2</v>
      </c>
      <c r="Q17" s="38">
        <v>3.1588148616811383E-2</v>
      </c>
      <c r="R17" s="38">
        <v>3.7480521610760272E-2</v>
      </c>
      <c r="S17" s="38">
        <v>2.6042072737050961E-2</v>
      </c>
      <c r="T17" s="38">
        <v>2.8822167450892524E-2</v>
      </c>
      <c r="U17" s="38">
        <v>3.1524915071258666E-2</v>
      </c>
      <c r="V17" s="38">
        <v>1.2244040504977956E-2</v>
      </c>
      <c r="W17" s="38">
        <v>1.2280926186516567E-2</v>
      </c>
      <c r="X17" s="38">
        <v>8.0855763688126761E-2</v>
      </c>
      <c r="Y17" s="38">
        <v>7.7295097079805415E-4</v>
      </c>
      <c r="Z17" s="38">
        <v>7.3960589571556872E-4</v>
      </c>
      <c r="AA17" s="38">
        <v>1.5067048365225252E-4</v>
      </c>
      <c r="AB17" s="38">
        <v>2.6404466777180955E-3</v>
      </c>
      <c r="AC17" s="38">
        <v>1.1428198262913865E-4</v>
      </c>
      <c r="AD17" s="38">
        <v>3.0502311106097999E-4</v>
      </c>
      <c r="AE17" s="38">
        <v>9.6359006125679679E-4</v>
      </c>
      <c r="AF17" s="38">
        <v>4.7737545071352395E-4</v>
      </c>
      <c r="AG17" s="38">
        <v>2.8070231115272016E-3</v>
      </c>
      <c r="AH17" s="38">
        <v>2.1876485967905373E-4</v>
      </c>
      <c r="AI17" s="38">
        <v>3.6870900457541773E-4</v>
      </c>
      <c r="AJ17" s="38">
        <v>2.3291615815964331E-3</v>
      </c>
      <c r="AK17" s="38">
        <v>1.190429635832047E-3</v>
      </c>
      <c r="AL17" s="38">
        <v>2.4336916629792552E-3</v>
      </c>
      <c r="AM17" s="38">
        <v>3.8714672861014324E-4</v>
      </c>
      <c r="AN17" s="38">
        <v>3.0195841601242343E-3</v>
      </c>
      <c r="AO17" s="31">
        <v>1.4668801428793333E-2</v>
      </c>
      <c r="AP17" s="59">
        <v>3.2464345314055731E-3</v>
      </c>
      <c r="AQ17" s="30">
        <v>1.104371608599721E-3</v>
      </c>
      <c r="AR17" s="30">
        <v>3.1060723714862558E-6</v>
      </c>
      <c r="AS17" s="30">
        <v>8.2635951380257463E-4</v>
      </c>
      <c r="AT17" s="30">
        <v>3.6657410259086083E-3</v>
      </c>
      <c r="AU17" s="30">
        <v>8.3100544209241206E-2</v>
      </c>
      <c r="AV17" s="31">
        <v>1.0010913010132544E-3</v>
      </c>
      <c r="AW17" s="31">
        <v>1.4429072477691257E-2</v>
      </c>
      <c r="AX17" s="31">
        <v>7.1573609672866368E-3</v>
      </c>
      <c r="AY17" s="31">
        <v>7.1573609672866368E-3</v>
      </c>
      <c r="AZ17" s="31">
        <v>4.961031035293801E-2</v>
      </c>
      <c r="BA17" s="31">
        <v>3.8570193393393855E-2</v>
      </c>
      <c r="BB17" s="31">
        <v>1.4905789714018335E-2</v>
      </c>
      <c r="BC17" s="31">
        <v>2.0440577944317376E-2</v>
      </c>
      <c r="BD17" s="30">
        <v>1.6745735156505771E-2</v>
      </c>
      <c r="BE17" s="30">
        <v>1.2128712871287129E-2</v>
      </c>
      <c r="BF17" s="30">
        <v>1.7328284032025989E-2</v>
      </c>
      <c r="BG17" s="31">
        <v>1.6753518952621935E-2</v>
      </c>
      <c r="BH17" s="31">
        <v>2.9401899919749626E-2</v>
      </c>
      <c r="BI17" s="31">
        <v>2.6720206854233847E-2</v>
      </c>
      <c r="BJ17" s="31">
        <v>5.9443480977113055E-3</v>
      </c>
      <c r="BK17" s="32">
        <v>1.7873029172317936E-2</v>
      </c>
    </row>
    <row r="18" spans="1:63">
      <c r="A18" s="10">
        <v>13</v>
      </c>
      <c r="B18" s="10" t="s">
        <v>99</v>
      </c>
      <c r="C18" s="12" t="s">
        <v>212</v>
      </c>
      <c r="D18" s="38">
        <v>0</v>
      </c>
      <c r="E18" s="38">
        <v>4.5034368333728373E-3</v>
      </c>
      <c r="F18" s="38">
        <v>0</v>
      </c>
      <c r="G18" s="38">
        <v>0</v>
      </c>
      <c r="H18" s="38">
        <v>1.2061950176104472E-4</v>
      </c>
      <c r="I18" s="38">
        <v>1.5028667182650907E-5</v>
      </c>
      <c r="J18" s="38">
        <v>0</v>
      </c>
      <c r="K18" s="38">
        <v>4.1194330439558763E-4</v>
      </c>
      <c r="L18" s="38">
        <v>1.5517768938234909E-3</v>
      </c>
      <c r="M18" s="38">
        <v>9.1024940833788457E-4</v>
      </c>
      <c r="N18" s="38">
        <v>0</v>
      </c>
      <c r="O18" s="38">
        <v>9.9700897308075765E-4</v>
      </c>
      <c r="P18" s="38">
        <v>0.14710032767168596</v>
      </c>
      <c r="Q18" s="38">
        <v>3.9018989185904213E-2</v>
      </c>
      <c r="R18" s="38">
        <v>1.2268369990495994E-2</v>
      </c>
      <c r="S18" s="38">
        <v>1.9682314398321034E-3</v>
      </c>
      <c r="T18" s="38">
        <v>1.1875420120994847E-2</v>
      </c>
      <c r="U18" s="38">
        <v>1.2742140272179359E-3</v>
      </c>
      <c r="V18" s="38">
        <v>1.0872866945065052E-2</v>
      </c>
      <c r="W18" s="38">
        <v>3.8203449358623978E-3</v>
      </c>
      <c r="X18" s="38">
        <v>6.5467154216114652E-3</v>
      </c>
      <c r="Y18" s="38">
        <v>0</v>
      </c>
      <c r="Z18" s="38">
        <v>1.1759733741877542E-2</v>
      </c>
      <c r="AA18" s="38">
        <v>0</v>
      </c>
      <c r="AB18" s="38">
        <v>4.3102296404147816E-6</v>
      </c>
      <c r="AC18" s="38">
        <v>0</v>
      </c>
      <c r="AD18" s="38">
        <v>0</v>
      </c>
      <c r="AE18" s="38">
        <v>9.4438228594935224E-5</v>
      </c>
      <c r="AF18" s="38">
        <v>2.0313848966532932E-6</v>
      </c>
      <c r="AG18" s="38">
        <v>1.98348156552233E-4</v>
      </c>
      <c r="AH18" s="38">
        <v>0</v>
      </c>
      <c r="AI18" s="38">
        <v>0</v>
      </c>
      <c r="AJ18" s="38">
        <v>0</v>
      </c>
      <c r="AK18" s="38">
        <v>7.0839189633715724E-3</v>
      </c>
      <c r="AL18" s="38">
        <v>1.4641193159634556E-5</v>
      </c>
      <c r="AM18" s="38">
        <v>0</v>
      </c>
      <c r="AN18" s="38">
        <v>0</v>
      </c>
      <c r="AO18" s="31">
        <v>6.3230560361609515E-3</v>
      </c>
      <c r="AP18" s="59">
        <v>0</v>
      </c>
      <c r="AQ18" s="30">
        <v>4.6529244095206275E-5</v>
      </c>
      <c r="AR18" s="30">
        <v>0</v>
      </c>
      <c r="AS18" s="30">
        <v>9.6419899008029913E-3</v>
      </c>
      <c r="AT18" s="30">
        <v>4.2167984707837745E-2</v>
      </c>
      <c r="AU18" s="30">
        <v>0.11132493223249944</v>
      </c>
      <c r="AV18" s="31">
        <v>9.3868780344418656E-3</v>
      </c>
      <c r="AW18" s="31">
        <v>1.1273441769105604E-2</v>
      </c>
      <c r="AX18" s="31">
        <v>5.2534484092910817E-2</v>
      </c>
      <c r="AY18" s="31">
        <v>5.2534484092910817E-2</v>
      </c>
      <c r="AZ18" s="31">
        <v>5.2140288272942314E-2</v>
      </c>
      <c r="BA18" s="31">
        <v>5.2242801008108991E-2</v>
      </c>
      <c r="BB18" s="31">
        <v>2.5248281447665086E-2</v>
      </c>
      <c r="BC18" s="31">
        <v>2.1475433958674583E-2</v>
      </c>
      <c r="BD18" s="30">
        <v>2.4619358475423177E-2</v>
      </c>
      <c r="BE18" s="30">
        <v>0</v>
      </c>
      <c r="BF18" s="30">
        <v>2.5299471235754704E-2</v>
      </c>
      <c r="BG18" s="31">
        <v>2.4447664451791164E-2</v>
      </c>
      <c r="BH18" s="31">
        <v>2.6247611533930047E-2</v>
      </c>
      <c r="BI18" s="31">
        <v>2.5865989125416891E-2</v>
      </c>
      <c r="BJ18" s="31">
        <v>2.4779739392274579E-2</v>
      </c>
      <c r="BK18" s="32">
        <v>1.9680269835367342E-2</v>
      </c>
    </row>
    <row r="19" spans="1:63">
      <c r="A19" s="10">
        <v>14</v>
      </c>
      <c r="B19" s="10" t="s">
        <v>100</v>
      </c>
      <c r="C19" s="12" t="s">
        <v>213</v>
      </c>
      <c r="D19" s="38">
        <v>5.66225765537235E-6</v>
      </c>
      <c r="E19" s="38">
        <v>7.1106897369044796E-4</v>
      </c>
      <c r="F19" s="38">
        <v>0</v>
      </c>
      <c r="G19" s="38">
        <v>0</v>
      </c>
      <c r="H19" s="38">
        <v>1.0453690152623876E-4</v>
      </c>
      <c r="I19" s="38">
        <v>0</v>
      </c>
      <c r="J19" s="38">
        <v>1.2319822594554638E-4</v>
      </c>
      <c r="K19" s="38">
        <v>3.2090891984397013E-3</v>
      </c>
      <c r="L19" s="38">
        <v>1.5299208812344276E-3</v>
      </c>
      <c r="M19" s="38">
        <v>1.1529825838946539E-3</v>
      </c>
      <c r="N19" s="38">
        <v>2.7475323089447441E-4</v>
      </c>
      <c r="O19" s="38">
        <v>5.3800861566244667E-4</v>
      </c>
      <c r="P19" s="38">
        <v>4.6639400555572638E-3</v>
      </c>
      <c r="Q19" s="38">
        <v>0.14627583852948278</v>
      </c>
      <c r="R19" s="38">
        <v>1.3652963851004192E-3</v>
      </c>
      <c r="S19" s="38">
        <v>2.3262363500683391E-3</v>
      </c>
      <c r="T19" s="38">
        <v>2.7522593173500633E-3</v>
      </c>
      <c r="U19" s="38">
        <v>5.9976326325533388E-4</v>
      </c>
      <c r="V19" s="38">
        <v>9.396655244951782E-4</v>
      </c>
      <c r="W19" s="38">
        <v>6.6289090211311009E-4</v>
      </c>
      <c r="X19" s="38">
        <v>5.5443348778266208E-5</v>
      </c>
      <c r="Y19" s="38">
        <v>3.5456466550369458E-6</v>
      </c>
      <c r="Z19" s="38">
        <v>3.2753975381689471E-4</v>
      </c>
      <c r="AA19" s="38">
        <v>0</v>
      </c>
      <c r="AB19" s="38">
        <v>3.4481837123318257E-6</v>
      </c>
      <c r="AC19" s="38">
        <v>0</v>
      </c>
      <c r="AD19" s="38">
        <v>0</v>
      </c>
      <c r="AE19" s="38">
        <v>3.6814902672601871E-5</v>
      </c>
      <c r="AF19" s="38">
        <v>2.0313848966532932E-6</v>
      </c>
      <c r="AG19" s="38">
        <v>1.4281067271760776E-5</v>
      </c>
      <c r="AH19" s="38">
        <v>0</v>
      </c>
      <c r="AI19" s="38">
        <v>0</v>
      </c>
      <c r="AJ19" s="38">
        <v>0</v>
      </c>
      <c r="AK19" s="38">
        <v>1.1015212195520305E-2</v>
      </c>
      <c r="AL19" s="38">
        <v>8.1339961997969757E-6</v>
      </c>
      <c r="AM19" s="38">
        <v>0</v>
      </c>
      <c r="AN19" s="38">
        <v>0</v>
      </c>
      <c r="AO19" s="31">
        <v>6.939075224812373E-3</v>
      </c>
      <c r="AP19" s="59">
        <v>0</v>
      </c>
      <c r="AQ19" s="30">
        <v>3.001136244140805E-5</v>
      </c>
      <c r="AR19" s="30">
        <v>0</v>
      </c>
      <c r="AS19" s="30">
        <v>1.7340002912578614E-3</v>
      </c>
      <c r="AT19" s="30">
        <v>8.2237115055194834E-2</v>
      </c>
      <c r="AU19" s="30">
        <v>0.16386285099426823</v>
      </c>
      <c r="AV19" s="31">
        <v>1.7431647278898923E-2</v>
      </c>
      <c r="AW19" s="31">
        <v>1.6395526392021971E-2</v>
      </c>
      <c r="AX19" s="31">
        <v>0.20091834741687151</v>
      </c>
      <c r="AY19" s="31">
        <v>0.20091834741687151</v>
      </c>
      <c r="AZ19" s="31">
        <v>7.1365219292383278E-2</v>
      </c>
      <c r="BA19" s="31">
        <v>0.10505620443398521</v>
      </c>
      <c r="BB19" s="31">
        <v>4.9862367550536822E-2</v>
      </c>
      <c r="BC19" s="31">
        <v>3.8473380713084621E-2</v>
      </c>
      <c r="BD19" s="30">
        <v>3.0282042931569164E-2</v>
      </c>
      <c r="BE19" s="30">
        <v>0</v>
      </c>
      <c r="BF19" s="30">
        <v>3.1116760679007441E-2</v>
      </c>
      <c r="BG19" s="31">
        <v>3.0070697088496249E-2</v>
      </c>
      <c r="BH19" s="31">
        <v>3.4795058914626753E-2</v>
      </c>
      <c r="BI19" s="31">
        <v>3.3793405945677736E-2</v>
      </c>
      <c r="BJ19" s="31">
        <v>6.2050955404477894E-2</v>
      </c>
      <c r="BK19" s="32">
        <v>4.0386879685622427E-2</v>
      </c>
    </row>
    <row r="20" spans="1:63">
      <c r="A20" s="10">
        <v>15</v>
      </c>
      <c r="B20" s="10" t="s">
        <v>101</v>
      </c>
      <c r="C20" s="12" t="s">
        <v>214</v>
      </c>
      <c r="D20" s="38">
        <v>8.493386483058525E-6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1.8811490058127504E-5</v>
      </c>
      <c r="P20" s="38">
        <v>1.9441625579575701E-3</v>
      </c>
      <c r="Q20" s="38">
        <v>4.1125198757919097E-3</v>
      </c>
      <c r="R20" s="38">
        <v>8.0320917016031376E-2</v>
      </c>
      <c r="S20" s="38">
        <v>9.546797606299614E-6</v>
      </c>
      <c r="T20" s="38">
        <v>5.9003659720666222E-4</v>
      </c>
      <c r="U20" s="38">
        <v>5.884469752693842E-4</v>
      </c>
      <c r="V20" s="38">
        <v>2.4982044155763046E-4</v>
      </c>
      <c r="W20" s="38">
        <v>8.1407654645469657E-5</v>
      </c>
      <c r="X20" s="38">
        <v>1.4696887692016599E-4</v>
      </c>
      <c r="Y20" s="38">
        <v>0</v>
      </c>
      <c r="Z20" s="38">
        <v>1.056579851022241E-4</v>
      </c>
      <c r="AA20" s="38">
        <v>3.0134096730450506E-5</v>
      </c>
      <c r="AB20" s="38">
        <v>8.5256342287404392E-4</v>
      </c>
      <c r="AC20" s="38">
        <v>1.2244498138836283E-5</v>
      </c>
      <c r="AD20" s="38">
        <v>0</v>
      </c>
      <c r="AE20" s="38">
        <v>9.6038876537222265E-6</v>
      </c>
      <c r="AF20" s="38">
        <v>1.3000863338581077E-4</v>
      </c>
      <c r="AG20" s="38">
        <v>2.2373672059091882E-3</v>
      </c>
      <c r="AH20" s="38">
        <v>0</v>
      </c>
      <c r="AI20" s="38">
        <v>1.0876099907088594E-2</v>
      </c>
      <c r="AJ20" s="38">
        <v>0</v>
      </c>
      <c r="AK20" s="38">
        <v>3.4436196422040085E-3</v>
      </c>
      <c r="AL20" s="38">
        <v>8.6383039641843877E-4</v>
      </c>
      <c r="AM20" s="38">
        <v>2.3443885232503119E-2</v>
      </c>
      <c r="AN20" s="38">
        <v>0</v>
      </c>
      <c r="AO20" s="31">
        <v>2.7085747100621398E-3</v>
      </c>
      <c r="AP20" s="59">
        <v>2.3138734241119635E-4</v>
      </c>
      <c r="AQ20" s="30">
        <v>2.5730671984649074E-4</v>
      </c>
      <c r="AR20" s="30">
        <v>3.1060723714862558E-6</v>
      </c>
      <c r="AS20" s="30">
        <v>1.5501014322436E-2</v>
      </c>
      <c r="AT20" s="30">
        <v>2.6507772073477719E-2</v>
      </c>
      <c r="AU20" s="30">
        <v>6.6877728805843528E-2</v>
      </c>
      <c r="AV20" s="31">
        <v>6.6603148217597987E-3</v>
      </c>
      <c r="AW20" s="31">
        <v>6.3185702371883696E-3</v>
      </c>
      <c r="AX20" s="31">
        <v>3.7414918354787233E-2</v>
      </c>
      <c r="AY20" s="31">
        <v>3.7414918354787233E-2</v>
      </c>
      <c r="AZ20" s="31">
        <v>3.344093575249682E-2</v>
      </c>
      <c r="BA20" s="31">
        <v>3.4474391221654604E-2</v>
      </c>
      <c r="BB20" s="31">
        <v>1.6954581185268536E-2</v>
      </c>
      <c r="BC20" s="31">
        <v>1.3329796946854974E-2</v>
      </c>
      <c r="BD20" s="30">
        <v>2.5818060268492017E-2</v>
      </c>
      <c r="BE20" s="30">
        <v>9.075907590759076E-4</v>
      </c>
      <c r="BF20" s="30">
        <v>2.6535314213076984E-2</v>
      </c>
      <c r="BG20" s="31">
        <v>2.5646893097996993E-2</v>
      </c>
      <c r="BH20" s="31">
        <v>8.1268895101596558E-3</v>
      </c>
      <c r="BI20" s="31">
        <v>1.1841457584241344E-2</v>
      </c>
      <c r="BJ20" s="31">
        <v>2.0832974683970655E-2</v>
      </c>
      <c r="BK20" s="32">
        <v>1.3938333527219226E-2</v>
      </c>
    </row>
    <row r="21" spans="1:63">
      <c r="A21" s="10">
        <v>16</v>
      </c>
      <c r="B21" s="10" t="s">
        <v>102</v>
      </c>
      <c r="C21" s="12" t="s">
        <v>215</v>
      </c>
      <c r="D21" s="38">
        <v>0</v>
      </c>
      <c r="E21" s="38">
        <v>0</v>
      </c>
      <c r="F21" s="38">
        <v>0</v>
      </c>
      <c r="G21" s="38">
        <v>0</v>
      </c>
      <c r="H21" s="38">
        <v>8.0413001174029817E-6</v>
      </c>
      <c r="I21" s="38">
        <v>7.5143335913254535E-6</v>
      </c>
      <c r="J21" s="38">
        <v>0</v>
      </c>
      <c r="K21" s="38">
        <v>0</v>
      </c>
      <c r="L21" s="38">
        <v>0</v>
      </c>
      <c r="M21" s="38">
        <v>0</v>
      </c>
      <c r="N21" s="38">
        <v>2.13696957362369E-4</v>
      </c>
      <c r="O21" s="38">
        <v>6.1701687390658215E-4</v>
      </c>
      <c r="P21" s="38">
        <v>4.9475349453823574E-3</v>
      </c>
      <c r="Q21" s="38">
        <v>1.1250322591387018E-2</v>
      </c>
      <c r="R21" s="38">
        <v>0.11706331019244408</v>
      </c>
      <c r="S21" s="38">
        <v>0.30700273515751419</v>
      </c>
      <c r="T21" s="38">
        <v>0.19424154156397042</v>
      </c>
      <c r="U21" s="38">
        <v>0.3066442453280705</v>
      </c>
      <c r="V21" s="38">
        <v>1.5250402409631714E-2</v>
      </c>
      <c r="W21" s="38">
        <v>2.0758951934594764E-2</v>
      </c>
      <c r="X21" s="38">
        <v>3.027382853924377E-4</v>
      </c>
      <c r="Y21" s="38">
        <v>3.5456466550369458E-6</v>
      </c>
      <c r="Z21" s="38">
        <v>2.1131597020444819E-5</v>
      </c>
      <c r="AA21" s="38">
        <v>0</v>
      </c>
      <c r="AB21" s="38">
        <v>2.8447515626737563E-5</v>
      </c>
      <c r="AC21" s="38">
        <v>4.4896493175733038E-5</v>
      </c>
      <c r="AD21" s="38">
        <v>0</v>
      </c>
      <c r="AE21" s="38">
        <v>0</v>
      </c>
      <c r="AF21" s="38">
        <v>6.7848255548219995E-4</v>
      </c>
      <c r="AG21" s="38">
        <v>1.1155100324497585E-3</v>
      </c>
      <c r="AH21" s="38">
        <v>1.0907858975663929E-3</v>
      </c>
      <c r="AI21" s="38">
        <v>1.6314557724576005E-6</v>
      </c>
      <c r="AJ21" s="38">
        <v>0</v>
      </c>
      <c r="AK21" s="38">
        <v>1.1196939618188385E-2</v>
      </c>
      <c r="AL21" s="38">
        <v>1.6267992399593951E-5</v>
      </c>
      <c r="AM21" s="38">
        <v>3.2090162171462981E-2</v>
      </c>
      <c r="AN21" s="38">
        <v>0</v>
      </c>
      <c r="AO21" s="31">
        <v>2.9230618191158939E-2</v>
      </c>
      <c r="AP21" s="59">
        <v>4.2070425892944787E-5</v>
      </c>
      <c r="AQ21" s="30">
        <v>1.3423686921467011E-4</v>
      </c>
      <c r="AR21" s="30">
        <v>0</v>
      </c>
      <c r="AS21" s="30">
        <v>0</v>
      </c>
      <c r="AT21" s="30">
        <v>0</v>
      </c>
      <c r="AU21" s="30">
        <v>-3.8880956815030933E-2</v>
      </c>
      <c r="AV21" s="31">
        <v>2.7727379717568145E-4</v>
      </c>
      <c r="AW21" s="31">
        <v>2.7783621302960505E-2</v>
      </c>
      <c r="AX21" s="31">
        <v>0.32385897544563064</v>
      </c>
      <c r="AY21" s="31">
        <v>0.32385897544563064</v>
      </c>
      <c r="AZ21" s="31">
        <v>4.2398824196193868E-2</v>
      </c>
      <c r="BA21" s="31">
        <v>0.11559404465112463</v>
      </c>
      <c r="BB21" s="31">
        <v>4.295715783440876E-2</v>
      </c>
      <c r="BC21" s="31">
        <v>4.9649749302049712E-2</v>
      </c>
      <c r="BD21" s="30">
        <v>0.10574869882853752</v>
      </c>
      <c r="BE21" s="30">
        <v>0</v>
      </c>
      <c r="BF21" s="30">
        <v>0.10863942515646655</v>
      </c>
      <c r="BG21" s="31">
        <v>0.10500852491773725</v>
      </c>
      <c r="BH21" s="31">
        <v>5.7686556027596113E-2</v>
      </c>
      <c r="BI21" s="31">
        <v>6.7719697514167204E-2</v>
      </c>
      <c r="BJ21" s="31">
        <v>2.4174339268075867E-2</v>
      </c>
      <c r="BK21" s="32">
        <v>4.2261498498112809E-2</v>
      </c>
    </row>
    <row r="22" spans="1:63">
      <c r="A22" s="10">
        <v>17</v>
      </c>
      <c r="B22" s="10" t="s">
        <v>104</v>
      </c>
      <c r="C22" s="12" t="s">
        <v>105</v>
      </c>
      <c r="D22" s="38">
        <v>5.66225765537235E-6</v>
      </c>
      <c r="E22" s="38">
        <v>0</v>
      </c>
      <c r="F22" s="38">
        <v>0</v>
      </c>
      <c r="G22" s="38">
        <v>0</v>
      </c>
      <c r="H22" s="38">
        <v>5.6289100821820872E-5</v>
      </c>
      <c r="I22" s="38">
        <v>7.5143335913254535E-6</v>
      </c>
      <c r="J22" s="38">
        <v>0</v>
      </c>
      <c r="K22" s="38">
        <v>3.5600038651470538E-5</v>
      </c>
      <c r="L22" s="38">
        <v>1.4570675059375501E-5</v>
      </c>
      <c r="M22" s="38">
        <v>0</v>
      </c>
      <c r="N22" s="38">
        <v>9.1584410298158129E-5</v>
      </c>
      <c r="O22" s="38">
        <v>2.6712315882541058E-4</v>
      </c>
      <c r="P22" s="38">
        <v>1.4951942624995301E-2</v>
      </c>
      <c r="Q22" s="38">
        <v>2.2926882060588905E-2</v>
      </c>
      <c r="R22" s="38">
        <v>1.5790159252415802E-2</v>
      </c>
      <c r="S22" s="38">
        <v>9.8729798578481836E-3</v>
      </c>
      <c r="T22" s="38">
        <v>7.4691911270445888E-2</v>
      </c>
      <c r="U22" s="38">
        <v>1.7775625168329784E-2</v>
      </c>
      <c r="V22" s="38">
        <v>5.2138661700539102E-2</v>
      </c>
      <c r="W22" s="38">
        <v>5.832276972100434E-3</v>
      </c>
      <c r="X22" s="38">
        <v>7.6142198988818927E-3</v>
      </c>
      <c r="Y22" s="38">
        <v>3.5456466550369458E-6</v>
      </c>
      <c r="Z22" s="38">
        <v>2.5357916424533785E-4</v>
      </c>
      <c r="AA22" s="38">
        <v>0</v>
      </c>
      <c r="AB22" s="38">
        <v>1.9482237974674814E-4</v>
      </c>
      <c r="AC22" s="38">
        <v>2.0407496898060471E-6</v>
      </c>
      <c r="AD22" s="38">
        <v>1.7475282404535312E-5</v>
      </c>
      <c r="AE22" s="38">
        <v>1.3285377920982413E-4</v>
      </c>
      <c r="AF22" s="38">
        <v>1.6047940683561017E-4</v>
      </c>
      <c r="AG22" s="38">
        <v>1.2186510738569196E-3</v>
      </c>
      <c r="AH22" s="38">
        <v>7.033897918847352E-4</v>
      </c>
      <c r="AI22" s="38">
        <v>5.3838040491100817E-5</v>
      </c>
      <c r="AJ22" s="38">
        <v>0</v>
      </c>
      <c r="AK22" s="38">
        <v>6.4030162151468657E-3</v>
      </c>
      <c r="AL22" s="38">
        <v>1.1550274603711705E-4</v>
      </c>
      <c r="AM22" s="38">
        <v>0</v>
      </c>
      <c r="AN22" s="38">
        <v>2.3006355505708452E-4</v>
      </c>
      <c r="AO22" s="31">
        <v>6.1182318413533733E-3</v>
      </c>
      <c r="AP22" s="59">
        <v>7.3833597442118102E-3</v>
      </c>
      <c r="AQ22" s="30">
        <v>1.8534226446663991E-2</v>
      </c>
      <c r="AR22" s="30">
        <v>0</v>
      </c>
      <c r="AS22" s="30">
        <v>1.5313051400239102E-2</v>
      </c>
      <c r="AT22" s="30">
        <v>3.8415194422738691E-2</v>
      </c>
      <c r="AU22" s="30">
        <v>5.7980011173877959E-2</v>
      </c>
      <c r="AV22" s="31">
        <v>1.8292412360870383E-2</v>
      </c>
      <c r="AW22" s="31">
        <v>1.6105461569779465E-2</v>
      </c>
      <c r="AX22" s="31">
        <v>4.3419554314058605E-2</v>
      </c>
      <c r="AY22" s="31">
        <v>4.3419554314058605E-2</v>
      </c>
      <c r="AZ22" s="31">
        <v>5.0307109841502724E-2</v>
      </c>
      <c r="BA22" s="31">
        <v>4.851596412162399E-2</v>
      </c>
      <c r="BB22" s="31">
        <v>2.9478449524328664E-2</v>
      </c>
      <c r="BC22" s="31">
        <v>2.4176168557530898E-2</v>
      </c>
      <c r="BD22" s="30">
        <v>6.9038349005249369E-2</v>
      </c>
      <c r="BE22" s="30">
        <v>1.6501650165016502E-4</v>
      </c>
      <c r="BF22" s="30">
        <v>7.0893249649108869E-2</v>
      </c>
      <c r="BG22" s="31">
        <v>6.8553835747563144E-2</v>
      </c>
      <c r="BH22" s="31">
        <v>3.1385305102734046E-2</v>
      </c>
      <c r="BI22" s="31">
        <v>3.9265727992011071E-2</v>
      </c>
      <c r="BJ22" s="31">
        <v>2.2054627973951701E-2</v>
      </c>
      <c r="BK22" s="32">
        <v>1.8006507841619657E-2</v>
      </c>
    </row>
    <row r="23" spans="1:63">
      <c r="A23" s="10">
        <v>18</v>
      </c>
      <c r="B23" s="10" t="s">
        <v>106</v>
      </c>
      <c r="C23" s="12" t="s">
        <v>216</v>
      </c>
      <c r="D23" s="38">
        <v>2.831128827686175E-6</v>
      </c>
      <c r="E23" s="38">
        <v>0</v>
      </c>
      <c r="F23" s="38">
        <v>1.0220887990748636E-5</v>
      </c>
      <c r="G23" s="38">
        <v>0</v>
      </c>
      <c r="H23" s="38">
        <v>0</v>
      </c>
      <c r="I23" s="38">
        <v>7.5143335913254537E-5</v>
      </c>
      <c r="J23" s="38">
        <v>1.2319822594554638E-4</v>
      </c>
      <c r="K23" s="38">
        <v>0</v>
      </c>
      <c r="L23" s="38">
        <v>1.4570675059375501E-5</v>
      </c>
      <c r="M23" s="38">
        <v>0</v>
      </c>
      <c r="N23" s="38">
        <v>0</v>
      </c>
      <c r="O23" s="38">
        <v>4.514757613950601E-5</v>
      </c>
      <c r="P23" s="38">
        <v>3.7243184326427969E-4</v>
      </c>
      <c r="Q23" s="38">
        <v>2.4808318279068603E-4</v>
      </c>
      <c r="R23" s="38">
        <v>2.412184425972472E-5</v>
      </c>
      <c r="S23" s="38">
        <v>2.8640392818898842E-5</v>
      </c>
      <c r="T23" s="38">
        <v>3.3609679587721265E-5</v>
      </c>
      <c r="U23" s="38">
        <v>2.4669507809370338E-2</v>
      </c>
      <c r="V23" s="38">
        <v>7.948832231379151E-5</v>
      </c>
      <c r="W23" s="38">
        <v>1.7444497424029214E-5</v>
      </c>
      <c r="X23" s="38">
        <v>1.8463515196317857E-3</v>
      </c>
      <c r="Y23" s="38">
        <v>7.0912933100738916E-6</v>
      </c>
      <c r="Z23" s="38">
        <v>1.0565798510222409E-5</v>
      </c>
      <c r="AA23" s="38">
        <v>3.0134096730450506E-5</v>
      </c>
      <c r="AB23" s="38">
        <v>2.1723557387690501E-4</v>
      </c>
      <c r="AC23" s="38">
        <v>1.0611898386991446E-4</v>
      </c>
      <c r="AD23" s="38">
        <v>4.2893874992950312E-5</v>
      </c>
      <c r="AE23" s="38">
        <v>6.2425269749194471E-5</v>
      </c>
      <c r="AF23" s="38">
        <v>1.2594586359250418E-4</v>
      </c>
      <c r="AG23" s="38">
        <v>1.107576106187669E-3</v>
      </c>
      <c r="AH23" s="38">
        <v>9.8748026938461753E-5</v>
      </c>
      <c r="AI23" s="38">
        <v>1.4683101952118404E-5</v>
      </c>
      <c r="AJ23" s="38">
        <v>5.5836065312243256E-5</v>
      </c>
      <c r="AK23" s="38">
        <v>1.1179687014770529E-3</v>
      </c>
      <c r="AL23" s="38">
        <v>7.9713162758010358E-5</v>
      </c>
      <c r="AM23" s="38">
        <v>0</v>
      </c>
      <c r="AN23" s="38">
        <v>0</v>
      </c>
      <c r="AO23" s="31">
        <v>1.0507494642361221E-3</v>
      </c>
      <c r="AP23" s="59">
        <v>3.7092092162279654E-3</v>
      </c>
      <c r="AQ23" s="30">
        <v>1.7853736251771602E-2</v>
      </c>
      <c r="AR23" s="30">
        <v>0</v>
      </c>
      <c r="AS23" s="30">
        <v>4.6159290956443402E-2</v>
      </c>
      <c r="AT23" s="30">
        <v>3.9077990536574687E-2</v>
      </c>
      <c r="AU23" s="30">
        <v>0.19181823825190888</v>
      </c>
      <c r="AV23" s="31">
        <v>1.9373690072764661E-2</v>
      </c>
      <c r="AW23" s="31">
        <v>1.1926151174107913E-2</v>
      </c>
      <c r="AX23" s="31">
        <v>4.8661357547437507E-2</v>
      </c>
      <c r="AY23" s="31">
        <v>4.8661357547437507E-2</v>
      </c>
      <c r="AZ23" s="31">
        <v>9.261086882866193E-2</v>
      </c>
      <c r="BA23" s="31">
        <v>8.1181562929281526E-2</v>
      </c>
      <c r="BB23" s="31">
        <v>4.2249398667182442E-2</v>
      </c>
      <c r="BC23" s="31">
        <v>2.9171799701093567E-2</v>
      </c>
      <c r="BD23" s="30">
        <v>0.10228148611525238</v>
      </c>
      <c r="BE23" s="30">
        <v>0</v>
      </c>
      <c r="BF23" s="30">
        <v>0.10497603347368979</v>
      </c>
      <c r="BG23" s="31">
        <v>0.10155667014696369</v>
      </c>
      <c r="BH23" s="31">
        <v>8.021906577712937E-3</v>
      </c>
      <c r="BI23" s="31">
        <v>2.7853023896222906E-2</v>
      </c>
      <c r="BJ23" s="31">
        <v>5.3169300213343353E-2</v>
      </c>
      <c r="BK23" s="32">
        <v>2.9711006913320903E-2</v>
      </c>
    </row>
    <row r="24" spans="1:63">
      <c r="A24" s="10">
        <v>19</v>
      </c>
      <c r="B24" s="10" t="s">
        <v>108</v>
      </c>
      <c r="C24" s="12" t="s">
        <v>109</v>
      </c>
      <c r="D24" s="38">
        <v>8.493386483058525E-6</v>
      </c>
      <c r="E24" s="38">
        <v>2.3702299123014932E-4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4.7285653632587142E-4</v>
      </c>
      <c r="R24" s="38">
        <v>0</v>
      </c>
      <c r="S24" s="38">
        <v>0</v>
      </c>
      <c r="T24" s="38">
        <v>0</v>
      </c>
      <c r="U24" s="38">
        <v>0</v>
      </c>
      <c r="V24" s="38">
        <v>0.34087431476807861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4.2449183429452246E-3</v>
      </c>
      <c r="AF24" s="38">
        <v>0</v>
      </c>
      <c r="AG24" s="38">
        <v>4.8619100134083357E-3</v>
      </c>
      <c r="AH24" s="38">
        <v>1.2457443398390558E-4</v>
      </c>
      <c r="AI24" s="38">
        <v>0</v>
      </c>
      <c r="AJ24" s="38">
        <v>0</v>
      </c>
      <c r="AK24" s="38">
        <v>3.5604772760209513E-2</v>
      </c>
      <c r="AL24" s="38">
        <v>5.3684374918660038E-5</v>
      </c>
      <c r="AM24" s="38">
        <v>0</v>
      </c>
      <c r="AN24" s="38">
        <v>0</v>
      </c>
      <c r="AO24" s="31">
        <v>1.0567274257982999E-2</v>
      </c>
      <c r="AP24" s="59">
        <v>0</v>
      </c>
      <c r="AQ24" s="30">
        <v>1.9677682620303689E-2</v>
      </c>
      <c r="AR24" s="30">
        <v>0</v>
      </c>
      <c r="AS24" s="30">
        <v>2.4965201458998682E-2</v>
      </c>
      <c r="AT24" s="30">
        <v>4.0611279242315106E-2</v>
      </c>
      <c r="AU24" s="30">
        <v>3.4432097999048152E-2</v>
      </c>
      <c r="AV24" s="31">
        <v>1.9983309513914933E-2</v>
      </c>
      <c r="AW24" s="31">
        <v>2.1264662287391191E-2</v>
      </c>
      <c r="AX24" s="31">
        <v>4.4581123759475524E-2</v>
      </c>
      <c r="AY24" s="31">
        <v>4.4581123759475524E-2</v>
      </c>
      <c r="AZ24" s="31">
        <v>6.9304091585874195E-2</v>
      </c>
      <c r="BA24" s="31">
        <v>6.2874751331773004E-2</v>
      </c>
      <c r="BB24" s="31">
        <v>3.5857858804706357E-2</v>
      </c>
      <c r="BC24" s="31">
        <v>3.1626205922028215E-2</v>
      </c>
      <c r="BD24" s="30">
        <v>2.8480982746427741E-2</v>
      </c>
      <c r="BE24" s="30">
        <v>0</v>
      </c>
      <c r="BF24" s="30">
        <v>2.8239012031814129E-2</v>
      </c>
      <c r="BG24" s="31">
        <v>2.8191957255953869E-2</v>
      </c>
      <c r="BH24" s="31">
        <v>5.719294840287148E-2</v>
      </c>
      <c r="BI24" s="31">
        <v>5.1044196475340427E-2</v>
      </c>
      <c r="BJ24" s="31">
        <v>2.4338756610687427E-2</v>
      </c>
      <c r="BK24" s="32">
        <v>2.3686781711606725E-2</v>
      </c>
    </row>
    <row r="25" spans="1:63">
      <c r="A25" s="10">
        <v>20</v>
      </c>
      <c r="B25" s="10" t="s">
        <v>110</v>
      </c>
      <c r="C25" s="12" t="s">
        <v>66</v>
      </c>
      <c r="D25" s="38">
        <v>2.1997870991121581E-3</v>
      </c>
      <c r="E25" s="38">
        <v>3.3183218772220905E-3</v>
      </c>
      <c r="F25" s="38">
        <v>7.3575792264831972E-3</v>
      </c>
      <c r="G25" s="38">
        <v>1.963631335131024E-2</v>
      </c>
      <c r="H25" s="38">
        <v>1.2962575789253606E-2</v>
      </c>
      <c r="I25" s="38">
        <v>4.8467451664049171E-3</v>
      </c>
      <c r="J25" s="38">
        <v>9.8558580756437104E-4</v>
      </c>
      <c r="K25" s="38">
        <v>5.4773202325191098E-3</v>
      </c>
      <c r="L25" s="38">
        <v>4.2910638049860851E-3</v>
      </c>
      <c r="M25" s="38">
        <v>6.2503792705868077E-3</v>
      </c>
      <c r="N25" s="38">
        <v>5.0351073572809608E-2</v>
      </c>
      <c r="O25" s="38">
        <v>9.9700897308075765E-4</v>
      </c>
      <c r="P25" s="38">
        <v>1.0113745468461172E-3</v>
      </c>
      <c r="Q25" s="38">
        <v>2.0779047793474913E-3</v>
      </c>
      <c r="R25" s="38">
        <v>8.2062514171583507E-3</v>
      </c>
      <c r="S25" s="38">
        <v>2.4312511237376349E-3</v>
      </c>
      <c r="T25" s="38">
        <v>5.1422809769213536E-3</v>
      </c>
      <c r="U25" s="38">
        <v>5.2507576254806594E-3</v>
      </c>
      <c r="V25" s="38">
        <v>1.0021206348845859E-3</v>
      </c>
      <c r="W25" s="38">
        <v>7.3121518369055782E-2</v>
      </c>
      <c r="X25" s="38">
        <v>3.0370634386316935E-3</v>
      </c>
      <c r="Y25" s="38">
        <v>2.7904239175140762E-3</v>
      </c>
      <c r="Z25" s="38">
        <v>3.4338845158222832E-3</v>
      </c>
      <c r="AA25" s="38">
        <v>5.4844056049419918E-3</v>
      </c>
      <c r="AB25" s="38">
        <v>5.5826094302652259E-3</v>
      </c>
      <c r="AC25" s="38">
        <v>1.4436263305687978E-2</v>
      </c>
      <c r="AD25" s="38">
        <v>4.2893874992950312E-5</v>
      </c>
      <c r="AE25" s="38">
        <v>1.6214563655367693E-3</v>
      </c>
      <c r="AF25" s="38">
        <v>2.1863795642679398E-2</v>
      </c>
      <c r="AG25" s="38">
        <v>6.5439023809712709E-3</v>
      </c>
      <c r="AH25" s="38">
        <v>1.6919335015594592E-2</v>
      </c>
      <c r="AI25" s="38">
        <v>3.5663623185923149E-3</v>
      </c>
      <c r="AJ25" s="38">
        <v>3.826365790040441E-2</v>
      </c>
      <c r="AK25" s="38">
        <v>6.7055118617399363E-3</v>
      </c>
      <c r="AL25" s="38">
        <v>5.1374319997917698E-3</v>
      </c>
      <c r="AM25" s="38">
        <v>0.1289628769303566</v>
      </c>
      <c r="AN25" s="38">
        <v>7.6208552612659251E-4</v>
      </c>
      <c r="AO25" s="31">
        <v>6.981237000959567E-3</v>
      </c>
      <c r="AP25" s="59">
        <v>2.1533046319538909E-2</v>
      </c>
      <c r="AQ25" s="30">
        <v>9.114846272030434E-3</v>
      </c>
      <c r="AR25" s="30">
        <v>0</v>
      </c>
      <c r="AS25" s="30">
        <v>2.9396723687730932E-3</v>
      </c>
      <c r="AT25" s="30">
        <v>8.4391966015154724E-3</v>
      </c>
      <c r="AU25" s="30">
        <v>0.18364475345045214</v>
      </c>
      <c r="AV25" s="31">
        <v>5.8212856629625501E-3</v>
      </c>
      <c r="AW25" s="31">
        <v>9.8833677568163636E-3</v>
      </c>
      <c r="AX25" s="31">
        <v>2.0555209557888685E-2</v>
      </c>
      <c r="AY25" s="31">
        <v>2.0555209557888685E-2</v>
      </c>
      <c r="AZ25" s="31">
        <v>2.0642620090412973E-2</v>
      </c>
      <c r="BA25" s="31">
        <v>2.0619888513066068E-2</v>
      </c>
      <c r="BB25" s="31">
        <v>1.1298395790815702E-2</v>
      </c>
      <c r="BC25" s="31">
        <v>1.2556924359432861E-2</v>
      </c>
      <c r="BD25" s="30">
        <v>3.300081889807082E-2</v>
      </c>
      <c r="BE25" s="30">
        <v>9.1171617161716165E-2</v>
      </c>
      <c r="BF25" s="30">
        <v>3.3729685831060265E-2</v>
      </c>
      <c r="BG25" s="31">
        <v>3.3611757094919023E-2</v>
      </c>
      <c r="BH25" s="31">
        <v>9.9731698688548202E-3</v>
      </c>
      <c r="BI25" s="31">
        <v>1.4984991983280094E-2</v>
      </c>
      <c r="BJ25" s="31">
        <v>8.5020482309167977E-3</v>
      </c>
      <c r="BK25" s="32">
        <v>1.1564161548863616E-2</v>
      </c>
    </row>
    <row r="26" spans="1:63">
      <c r="A26" s="10">
        <v>21</v>
      </c>
      <c r="B26" s="10" t="s">
        <v>111</v>
      </c>
      <c r="C26" s="12" t="s">
        <v>112</v>
      </c>
      <c r="D26" s="38">
        <v>3.4822884580539954E-3</v>
      </c>
      <c r="E26" s="38">
        <v>3.3183218772220905E-3</v>
      </c>
      <c r="F26" s="38">
        <v>7.4174444275718673E-4</v>
      </c>
      <c r="G26" s="38">
        <v>2.6965359883841526E-3</v>
      </c>
      <c r="H26" s="38">
        <v>4.832821370559192E-3</v>
      </c>
      <c r="I26" s="38">
        <v>2.1340707399364286E-3</v>
      </c>
      <c r="J26" s="38">
        <v>6.7759024270050514E-3</v>
      </c>
      <c r="K26" s="38">
        <v>5.0857198073529335E-3</v>
      </c>
      <c r="L26" s="38">
        <v>6.8117905902580463E-3</v>
      </c>
      <c r="M26" s="38">
        <v>4.5512470416894232E-3</v>
      </c>
      <c r="N26" s="38">
        <v>4.0907703266510635E-3</v>
      </c>
      <c r="O26" s="38">
        <v>4.6088150642412387E-3</v>
      </c>
      <c r="P26" s="38">
        <v>2.4464330254791214E-3</v>
      </c>
      <c r="Q26" s="38">
        <v>1.7915268770656255E-3</v>
      </c>
      <c r="R26" s="38">
        <v>1.8863282211104733E-3</v>
      </c>
      <c r="S26" s="38">
        <v>4.8084037277062383E-3</v>
      </c>
      <c r="T26" s="38">
        <v>2.1472850847710809E-3</v>
      </c>
      <c r="U26" s="38">
        <v>2.8290719964874241E-3</v>
      </c>
      <c r="V26" s="38">
        <v>1.1099976437390171E-3</v>
      </c>
      <c r="W26" s="38">
        <v>2.1631176805796226E-3</v>
      </c>
      <c r="X26" s="38">
        <v>7.7532682974051632E-4</v>
      </c>
      <c r="Y26" s="38">
        <v>2.0227914166985776E-2</v>
      </c>
      <c r="Z26" s="38">
        <v>4.8623804744043528E-2</v>
      </c>
      <c r="AA26" s="38">
        <v>3.0033649741349005E-3</v>
      </c>
      <c r="AB26" s="38">
        <v>3.8878271356541333E-3</v>
      </c>
      <c r="AC26" s="38">
        <v>3.6998791876183637E-3</v>
      </c>
      <c r="AD26" s="38">
        <v>1.3892055180587186E-2</v>
      </c>
      <c r="AE26" s="38">
        <v>1.3296582456578422E-2</v>
      </c>
      <c r="AF26" s="38">
        <v>5.1333096338428722E-3</v>
      </c>
      <c r="AG26" s="38">
        <v>9.0478495092866599E-3</v>
      </c>
      <c r="AH26" s="38">
        <v>6.3927953439545694E-3</v>
      </c>
      <c r="AI26" s="38">
        <v>3.0377706483160523E-3</v>
      </c>
      <c r="AJ26" s="38">
        <v>1.6750819593672975E-3</v>
      </c>
      <c r="AK26" s="38">
        <v>1.6194443741560601E-3</v>
      </c>
      <c r="AL26" s="38">
        <v>2.8973294463676825E-3</v>
      </c>
      <c r="AM26" s="38">
        <v>0</v>
      </c>
      <c r="AN26" s="38">
        <v>1.45946567739338E-2</v>
      </c>
      <c r="AO26" s="31">
        <v>5.2730462522081138E-3</v>
      </c>
      <c r="AP26" s="59">
        <v>0</v>
      </c>
      <c r="AQ26" s="30">
        <v>0</v>
      </c>
      <c r="AR26" s="30">
        <v>0</v>
      </c>
      <c r="AS26" s="30">
        <v>0.73656403778224067</v>
      </c>
      <c r="AT26" s="30">
        <v>0.31709652541100231</v>
      </c>
      <c r="AU26" s="30">
        <v>0</v>
      </c>
      <c r="AV26" s="31">
        <v>0.11913966287921021</v>
      </c>
      <c r="AW26" s="31">
        <v>7.2217179489493535E-2</v>
      </c>
      <c r="AX26" s="31">
        <v>0</v>
      </c>
      <c r="AY26" s="31">
        <v>0</v>
      </c>
      <c r="AZ26" s="31">
        <v>0</v>
      </c>
      <c r="BA26" s="31">
        <v>0</v>
      </c>
      <c r="BB26" s="31">
        <v>7.5044888474194812E-2</v>
      </c>
      <c r="BC26" s="31">
        <v>5.4234005849738164E-2</v>
      </c>
      <c r="BD26" s="30">
        <v>0</v>
      </c>
      <c r="BE26" s="30">
        <v>0</v>
      </c>
      <c r="BF26" s="30">
        <v>0</v>
      </c>
      <c r="BG26" s="31">
        <v>0</v>
      </c>
      <c r="BH26" s="31">
        <v>0</v>
      </c>
      <c r="BI26" s="31">
        <v>0</v>
      </c>
      <c r="BJ26" s="31">
        <v>0.13196774625738475</v>
      </c>
      <c r="BK26" s="32">
        <v>7.6408637044936917E-2</v>
      </c>
    </row>
    <row r="27" spans="1:63">
      <c r="A27" s="10">
        <v>22</v>
      </c>
      <c r="B27" s="10" t="s">
        <v>113</v>
      </c>
      <c r="C27" s="12" t="s">
        <v>217</v>
      </c>
      <c r="D27" s="38">
        <v>1.1819962855589781E-2</v>
      </c>
      <c r="E27" s="38">
        <v>1.7539701351031049E-2</v>
      </c>
      <c r="F27" s="38">
        <v>1.3697450034458995E-2</v>
      </c>
      <c r="G27" s="38">
        <v>2.0880868422872158E-2</v>
      </c>
      <c r="H27" s="38">
        <v>2.3552968043873333E-2</v>
      </c>
      <c r="I27" s="38">
        <v>1.8019371951998438E-2</v>
      </c>
      <c r="J27" s="38">
        <v>1.8726130343723051E-2</v>
      </c>
      <c r="K27" s="38">
        <v>2.5820199461930843E-2</v>
      </c>
      <c r="L27" s="38">
        <v>5.1959027261733036E-2</v>
      </c>
      <c r="M27" s="38">
        <v>6.5628982341161476E-2</v>
      </c>
      <c r="N27" s="38">
        <v>2.9520708252772972E-2</v>
      </c>
      <c r="O27" s="38">
        <v>1.880772776011588E-2</v>
      </c>
      <c r="P27" s="38">
        <v>1.4189994908959207E-2</v>
      </c>
      <c r="Q27" s="38">
        <v>9.5553650069513246E-3</v>
      </c>
      <c r="R27" s="38">
        <v>1.3826641129674211E-2</v>
      </c>
      <c r="S27" s="38">
        <v>2.9136826294426422E-2</v>
      </c>
      <c r="T27" s="38">
        <v>8.5256553887519612E-3</v>
      </c>
      <c r="U27" s="38">
        <v>5.0810133056914137E-3</v>
      </c>
      <c r="V27" s="38">
        <v>1.4276670461287768E-2</v>
      </c>
      <c r="W27" s="38">
        <v>1.7246793119890216E-2</v>
      </c>
      <c r="X27" s="38">
        <v>2.5820759573878262E-3</v>
      </c>
      <c r="Y27" s="38">
        <v>0.13191932944730461</v>
      </c>
      <c r="Z27" s="38">
        <v>5.4382164932114743E-2</v>
      </c>
      <c r="AA27" s="38">
        <v>6.8082969212997835E-2</v>
      </c>
      <c r="AB27" s="38">
        <v>2.522260180977922E-2</v>
      </c>
      <c r="AC27" s="38">
        <v>4.8671880101874227E-3</v>
      </c>
      <c r="AD27" s="38">
        <v>3.3790841522224192E-3</v>
      </c>
      <c r="AE27" s="38">
        <v>8.3537816107960502E-3</v>
      </c>
      <c r="AF27" s="38">
        <v>6.8477984866182522E-3</v>
      </c>
      <c r="AG27" s="38">
        <v>9.6809768250013892E-3</v>
      </c>
      <c r="AH27" s="38">
        <v>1.4569131974459203E-2</v>
      </c>
      <c r="AI27" s="38">
        <v>1.17627961194193E-2</v>
      </c>
      <c r="AJ27" s="38">
        <v>3.5735081799835684E-3</v>
      </c>
      <c r="AK27" s="38">
        <v>4.6455510136479599E-3</v>
      </c>
      <c r="AL27" s="38">
        <v>3.0413011791040893E-2</v>
      </c>
      <c r="AM27" s="38">
        <v>0</v>
      </c>
      <c r="AN27" s="38">
        <v>2.84703649383142E-3</v>
      </c>
      <c r="AO27" s="31">
        <v>1.5823778569310398E-2</v>
      </c>
      <c r="AP27" s="59">
        <v>6.1002117544769942E-4</v>
      </c>
      <c r="AQ27" s="30">
        <v>2.0121106316531003E-2</v>
      </c>
      <c r="AR27" s="30">
        <v>0</v>
      </c>
      <c r="AS27" s="30">
        <v>0</v>
      </c>
      <c r="AT27" s="30">
        <v>0</v>
      </c>
      <c r="AU27" s="30">
        <v>0</v>
      </c>
      <c r="AV27" s="31">
        <v>9.7501945534056132E-3</v>
      </c>
      <c r="AW27" s="31">
        <v>2.0458022777333811E-2</v>
      </c>
      <c r="AX27" s="31">
        <v>3.9947375597460173E-4</v>
      </c>
      <c r="AY27" s="31">
        <v>3.9947375597460173E-4</v>
      </c>
      <c r="AZ27" s="31">
        <v>1.7221049664966372E-2</v>
      </c>
      <c r="BA27" s="31">
        <v>1.2846508716301729E-2</v>
      </c>
      <c r="BB27" s="31">
        <v>1.0896171226500455E-2</v>
      </c>
      <c r="BC27" s="31">
        <v>1.8562640266017467E-2</v>
      </c>
      <c r="BD27" s="30">
        <v>4.3823506413269416E-5</v>
      </c>
      <c r="BE27" s="30">
        <v>0</v>
      </c>
      <c r="BF27" s="30">
        <v>0</v>
      </c>
      <c r="BG27" s="31">
        <v>3.9560582766169029E-5</v>
      </c>
      <c r="BH27" s="31">
        <v>2.2297289541049266E-2</v>
      </c>
      <c r="BI27" s="31">
        <v>1.7578235176962369E-2</v>
      </c>
      <c r="BJ27" s="31">
        <v>5.8277090875885366E-3</v>
      </c>
      <c r="BK27" s="32">
        <v>1.896513348875585E-2</v>
      </c>
    </row>
    <row r="28" spans="1:63">
      <c r="A28" s="10">
        <v>23</v>
      </c>
      <c r="B28" s="10" t="s">
        <v>115</v>
      </c>
      <c r="C28" s="12" t="s">
        <v>0</v>
      </c>
      <c r="D28" s="38">
        <v>3.5672223228845807E-4</v>
      </c>
      <c r="E28" s="38">
        <v>4.7404598246029864E-4</v>
      </c>
      <c r="F28" s="38">
        <v>1.7054281675992009E-3</v>
      </c>
      <c r="G28" s="38">
        <v>9.6798727788149073E-4</v>
      </c>
      <c r="H28" s="38">
        <v>6.6742790974444748E-4</v>
      </c>
      <c r="I28" s="38">
        <v>2.3895580820414942E-3</v>
      </c>
      <c r="J28" s="38">
        <v>4.9279290378218552E-4</v>
      </c>
      <c r="K28" s="38">
        <v>5.1874342034999928E-4</v>
      </c>
      <c r="L28" s="38">
        <v>6.5568037767189751E-4</v>
      </c>
      <c r="M28" s="38">
        <v>2.1239152861217306E-4</v>
      </c>
      <c r="N28" s="38">
        <v>3.052813676605271E-4</v>
      </c>
      <c r="O28" s="38">
        <v>4.251396753136816E-4</v>
      </c>
      <c r="P28" s="38">
        <v>6.5602673308937337E-4</v>
      </c>
      <c r="Q28" s="38">
        <v>4.36226804638656E-4</v>
      </c>
      <c r="R28" s="38">
        <v>3.2805708193225621E-4</v>
      </c>
      <c r="S28" s="38">
        <v>1.2856354109816812E-3</v>
      </c>
      <c r="T28" s="38">
        <v>3.6223765777877362E-4</v>
      </c>
      <c r="U28" s="38">
        <v>2.8064394205155251E-4</v>
      </c>
      <c r="V28" s="38">
        <v>2.9240347136859021E-4</v>
      </c>
      <c r="W28" s="38">
        <v>6.0474257736634605E-4</v>
      </c>
      <c r="X28" s="38">
        <v>9.1613533457420829E-4</v>
      </c>
      <c r="Y28" s="38">
        <v>1.038874469925825E-3</v>
      </c>
      <c r="Z28" s="38">
        <v>8.3385281842675255E-2</v>
      </c>
      <c r="AA28" s="38">
        <v>8.4275023856159904E-3</v>
      </c>
      <c r="AB28" s="38">
        <v>2.768029475074373E-3</v>
      </c>
      <c r="AC28" s="38">
        <v>1.1836348200875073E-3</v>
      </c>
      <c r="AD28" s="38">
        <v>4.2178977076401142E-4</v>
      </c>
      <c r="AE28" s="38">
        <v>6.3769814020715587E-3</v>
      </c>
      <c r="AF28" s="38">
        <v>2.7504951500685591E-3</v>
      </c>
      <c r="AG28" s="38">
        <v>4.0399552526558819E-3</v>
      </c>
      <c r="AH28" s="38">
        <v>8.1869710334056978E-3</v>
      </c>
      <c r="AI28" s="38">
        <v>4.7793496854145407E-3</v>
      </c>
      <c r="AJ28" s="38">
        <v>2.1616533856597033E-3</v>
      </c>
      <c r="AK28" s="38">
        <v>8.2122392268993395E-4</v>
      </c>
      <c r="AL28" s="38">
        <v>9.4809859704833542E-3</v>
      </c>
      <c r="AM28" s="38">
        <v>0</v>
      </c>
      <c r="AN28" s="38">
        <v>8.0522244269979584E-4</v>
      </c>
      <c r="AO28" s="31">
        <v>2.9723715965460965E-3</v>
      </c>
      <c r="AP28" s="59">
        <v>2.8046950595296528E-4</v>
      </c>
      <c r="AQ28" s="30">
        <v>1.1861932843411412E-2</v>
      </c>
      <c r="AR28" s="30">
        <v>-5.2440855205259621E-4</v>
      </c>
      <c r="AS28" s="30">
        <v>0</v>
      </c>
      <c r="AT28" s="30">
        <v>0</v>
      </c>
      <c r="AU28" s="30">
        <v>0</v>
      </c>
      <c r="AV28" s="31">
        <v>5.6326448789376649E-3</v>
      </c>
      <c r="AW28" s="31">
        <v>5.9879573525903158E-3</v>
      </c>
      <c r="AX28" s="31">
        <v>3.2503307451069993E-4</v>
      </c>
      <c r="AY28" s="31">
        <v>3.2503307451069993E-4</v>
      </c>
      <c r="AZ28" s="31">
        <v>0</v>
      </c>
      <c r="BA28" s="31">
        <v>8.4526592621882648E-5</v>
      </c>
      <c r="BB28" s="31">
        <v>3.5792311097929052E-3</v>
      </c>
      <c r="BC28" s="31">
        <v>4.5179135046132515E-3</v>
      </c>
      <c r="BD28" s="30">
        <v>1.1170697713186322E-5</v>
      </c>
      <c r="BE28" s="30">
        <v>0</v>
      </c>
      <c r="BF28" s="30">
        <v>0</v>
      </c>
      <c r="BG28" s="31">
        <v>1.0084070116866617E-5</v>
      </c>
      <c r="BH28" s="31">
        <v>0</v>
      </c>
      <c r="BI28" s="31">
        <v>2.1380112581094355E-6</v>
      </c>
      <c r="BJ28" s="31">
        <v>6.2925186616178816E-3</v>
      </c>
      <c r="BK28" s="32">
        <v>6.3642764010385109E-3</v>
      </c>
    </row>
    <row r="29" spans="1:63">
      <c r="A29" s="10">
        <v>24</v>
      </c>
      <c r="B29" s="10" t="s">
        <v>116</v>
      </c>
      <c r="C29" s="12" t="s">
        <v>1</v>
      </c>
      <c r="D29" s="38">
        <v>1.811922449719152E-4</v>
      </c>
      <c r="E29" s="38">
        <v>1.1851149561507466E-3</v>
      </c>
      <c r="F29" s="38">
        <v>1.5871578922776811E-3</v>
      </c>
      <c r="G29" s="38">
        <v>4.1485169052063887E-4</v>
      </c>
      <c r="H29" s="38">
        <v>8.68460412679522E-4</v>
      </c>
      <c r="I29" s="38">
        <v>3.5993657902448923E-3</v>
      </c>
      <c r="J29" s="38">
        <v>0</v>
      </c>
      <c r="K29" s="38">
        <v>7.1200077302941076E-5</v>
      </c>
      <c r="L29" s="38">
        <v>2.9505616995235389E-3</v>
      </c>
      <c r="M29" s="38">
        <v>3.0341646944596154E-5</v>
      </c>
      <c r="N29" s="38">
        <v>2.5440113971710591E-4</v>
      </c>
      <c r="O29" s="38">
        <v>1.2791813239526704E-4</v>
      </c>
      <c r="P29" s="38">
        <v>3.9634948457482975E-4</v>
      </c>
      <c r="Q29" s="38">
        <v>2.6639804863429377E-5</v>
      </c>
      <c r="R29" s="38">
        <v>2.170965983375225E-4</v>
      </c>
      <c r="S29" s="38">
        <v>8.8785217738586409E-4</v>
      </c>
      <c r="T29" s="38">
        <v>1.9418925984016731E-4</v>
      </c>
      <c r="U29" s="38">
        <v>3.1232954841221161E-4</v>
      </c>
      <c r="V29" s="38">
        <v>1.447823013572631E-4</v>
      </c>
      <c r="W29" s="38">
        <v>3.4888994848058429E-4</v>
      </c>
      <c r="X29" s="38">
        <v>2.8654530733656313E-3</v>
      </c>
      <c r="Y29" s="38">
        <v>1.2657958558481895E-3</v>
      </c>
      <c r="Z29" s="38">
        <v>2.8105024037191613E-3</v>
      </c>
      <c r="AA29" s="38">
        <v>0</v>
      </c>
      <c r="AB29" s="38">
        <v>1.581854278032225E-3</v>
      </c>
      <c r="AC29" s="38">
        <v>4.5427088095082611E-3</v>
      </c>
      <c r="AD29" s="38">
        <v>1.5886620367759374E-5</v>
      </c>
      <c r="AE29" s="38">
        <v>6.7915492191239013E-3</v>
      </c>
      <c r="AF29" s="38">
        <v>8.1824183637194663E-3</v>
      </c>
      <c r="AG29" s="38">
        <v>3.6310406931077982E-2</v>
      </c>
      <c r="AH29" s="38">
        <v>7.8497085414004908E-3</v>
      </c>
      <c r="AI29" s="38">
        <v>5.1137981187683486E-3</v>
      </c>
      <c r="AJ29" s="38">
        <v>5.5836065312243256E-5</v>
      </c>
      <c r="AK29" s="38">
        <v>1.8632811691284214E-3</v>
      </c>
      <c r="AL29" s="38">
        <v>2.6066204221869387E-2</v>
      </c>
      <c r="AM29" s="38">
        <v>0</v>
      </c>
      <c r="AN29" s="38">
        <v>1.2567221694993242E-2</v>
      </c>
      <c r="AO29" s="31">
        <v>4.8642720302004734E-3</v>
      </c>
      <c r="AP29" s="59">
        <v>0</v>
      </c>
      <c r="AQ29" s="30">
        <v>1.7992858691616269E-3</v>
      </c>
      <c r="AR29" s="30">
        <v>6.8727028006419213E-3</v>
      </c>
      <c r="AS29" s="30">
        <v>0</v>
      </c>
      <c r="AT29" s="30">
        <v>0</v>
      </c>
      <c r="AU29" s="30">
        <v>0</v>
      </c>
      <c r="AV29" s="31">
        <v>2.3661748491718387E-3</v>
      </c>
      <c r="AW29" s="31">
        <v>5.9327280952439663E-3</v>
      </c>
      <c r="AX29" s="31">
        <v>1.5993690967986823E-4</v>
      </c>
      <c r="AY29" s="31">
        <v>1.5993690967986823E-4</v>
      </c>
      <c r="AZ29" s="31">
        <v>3.2252232089662811E-3</v>
      </c>
      <c r="BA29" s="31">
        <v>2.4280790823900441E-3</v>
      </c>
      <c r="BB29" s="31">
        <v>2.3890862216946877E-3</v>
      </c>
      <c r="BC29" s="31">
        <v>5.0600173055111927E-3</v>
      </c>
      <c r="BD29" s="30">
        <v>1.7185688789517418E-6</v>
      </c>
      <c r="BE29" s="30">
        <v>0</v>
      </c>
      <c r="BF29" s="30">
        <v>0</v>
      </c>
      <c r="BG29" s="31">
        <v>1.551395402594864E-6</v>
      </c>
      <c r="BH29" s="31">
        <v>1.3480810351358882E-3</v>
      </c>
      <c r="BI29" s="31">
        <v>1.0625915952803895E-3</v>
      </c>
      <c r="BJ29" s="31">
        <v>3.3952555492100609E-3</v>
      </c>
      <c r="BK29" s="32">
        <v>6.6944427820316869E-3</v>
      </c>
    </row>
    <row r="30" spans="1:63">
      <c r="A30" s="10">
        <v>25</v>
      </c>
      <c r="B30" s="10" t="s">
        <v>117</v>
      </c>
      <c r="C30" s="12" t="s">
        <v>67</v>
      </c>
      <c r="D30" s="38">
        <v>5.9425394093132813E-2</v>
      </c>
      <c r="E30" s="38">
        <v>1.2325195543967766E-2</v>
      </c>
      <c r="F30" s="38">
        <v>6.766811900617925E-2</v>
      </c>
      <c r="G30" s="38">
        <v>8.8985687616677037E-2</v>
      </c>
      <c r="H30" s="38">
        <v>7.4325736985155766E-2</v>
      </c>
      <c r="I30" s="38">
        <v>5.1691100774727793E-2</v>
      </c>
      <c r="J30" s="38">
        <v>2.2668473573980535E-2</v>
      </c>
      <c r="K30" s="38">
        <v>5.818063459611756E-2</v>
      </c>
      <c r="L30" s="38">
        <v>3.9603094811382612E-2</v>
      </c>
      <c r="M30" s="38">
        <v>3.8200133503246553E-2</v>
      </c>
      <c r="N30" s="38">
        <v>3.4120280858858244E-2</v>
      </c>
      <c r="O30" s="38">
        <v>2.8826727365074589E-2</v>
      </c>
      <c r="P30" s="38">
        <v>3.5404942751417118E-2</v>
      </c>
      <c r="Q30" s="38">
        <v>3.6804555406631648E-2</v>
      </c>
      <c r="R30" s="38">
        <v>5.0602804888050523E-2</v>
      </c>
      <c r="S30" s="38">
        <v>4.2295495661776053E-2</v>
      </c>
      <c r="T30" s="38">
        <v>5.0324893569347974E-2</v>
      </c>
      <c r="U30" s="38">
        <v>4.9108163343827303E-2</v>
      </c>
      <c r="V30" s="38">
        <v>4.8238056169855187E-2</v>
      </c>
      <c r="W30" s="38">
        <v>7.6575528859013572E-2</v>
      </c>
      <c r="X30" s="38">
        <v>4.8357160772510663E-2</v>
      </c>
      <c r="Y30" s="38">
        <v>2.0103816534059482E-3</v>
      </c>
      <c r="Z30" s="38">
        <v>1.9483332452850124E-2</v>
      </c>
      <c r="AA30" s="38">
        <v>1.7789161769875949E-2</v>
      </c>
      <c r="AB30" s="38">
        <v>9.6023295929160511E-3</v>
      </c>
      <c r="AC30" s="38">
        <v>5.2753379481486323E-3</v>
      </c>
      <c r="AD30" s="38">
        <v>1.1708439211038659E-3</v>
      </c>
      <c r="AE30" s="38">
        <v>3.9100627934187761E-2</v>
      </c>
      <c r="AF30" s="38">
        <v>8.7918338327154545E-3</v>
      </c>
      <c r="AG30" s="38">
        <v>8.9320141858601574E-3</v>
      </c>
      <c r="AH30" s="38">
        <v>1.8494745845366665E-2</v>
      </c>
      <c r="AI30" s="38">
        <v>4.1071083343733862E-2</v>
      </c>
      <c r="AJ30" s="38">
        <v>3.602223870715579E-2</v>
      </c>
      <c r="AK30" s="38">
        <v>2.0427082446741213E-2</v>
      </c>
      <c r="AL30" s="38">
        <v>6.3422395169056983E-2</v>
      </c>
      <c r="AM30" s="38">
        <v>0.23882651524927948</v>
      </c>
      <c r="AN30" s="38">
        <v>4.0692491300721827E-3</v>
      </c>
      <c r="AO30" s="31">
        <v>3.2770190077659703E-2</v>
      </c>
      <c r="AP30" s="59">
        <v>0.17554586377596096</v>
      </c>
      <c r="AQ30" s="30">
        <v>0.14597270780658353</v>
      </c>
      <c r="AR30" s="30">
        <v>8.8523062587358289E-5</v>
      </c>
      <c r="AS30" s="30">
        <v>1.9346634109004949E-2</v>
      </c>
      <c r="AT30" s="30">
        <v>7.3048582140648188E-2</v>
      </c>
      <c r="AU30" s="30">
        <v>-5.8518012705113087E-2</v>
      </c>
      <c r="AV30" s="31">
        <v>9.1268578301692355E-2</v>
      </c>
      <c r="AW30" s="31">
        <v>8.2477618804233821E-2</v>
      </c>
      <c r="AX30" s="31">
        <v>2.8119414645651302E-2</v>
      </c>
      <c r="AY30" s="31">
        <v>2.8119414645651302E-2</v>
      </c>
      <c r="AZ30" s="31">
        <v>7.4170549575340861E-2</v>
      </c>
      <c r="BA30" s="31">
        <v>6.2194705185236863E-2</v>
      </c>
      <c r="BB30" s="31">
        <v>8.0508048641222282E-2</v>
      </c>
      <c r="BC30" s="31">
        <v>7.7426865505517042E-2</v>
      </c>
      <c r="BD30" s="30">
        <v>2.1439146764922977E-3</v>
      </c>
      <c r="BE30" s="30">
        <v>0</v>
      </c>
      <c r="BF30" s="30">
        <v>0</v>
      </c>
      <c r="BG30" s="31">
        <v>1.9353657647370928E-3</v>
      </c>
      <c r="BH30" s="31">
        <v>9.5945425572214374E-2</v>
      </c>
      <c r="BI30" s="31">
        <v>7.6013536571587118E-2</v>
      </c>
      <c r="BJ30" s="31">
        <v>8.3917214495771428E-2</v>
      </c>
      <c r="BK30" s="32">
        <v>7.8004732608939781E-2</v>
      </c>
    </row>
    <row r="31" spans="1:63">
      <c r="A31" s="10">
        <v>26</v>
      </c>
      <c r="B31" s="10" t="s">
        <v>118</v>
      </c>
      <c r="C31" s="12" t="s">
        <v>68</v>
      </c>
      <c r="D31" s="38">
        <v>6.3898577640876973E-3</v>
      </c>
      <c r="E31" s="38">
        <v>6.0914908746148376E-2</v>
      </c>
      <c r="F31" s="38">
        <v>6.3325701736966908E-3</v>
      </c>
      <c r="G31" s="38">
        <v>1.7838622692387472E-2</v>
      </c>
      <c r="H31" s="38">
        <v>9.8586339439360564E-3</v>
      </c>
      <c r="I31" s="38">
        <v>1.0317180020889848E-2</v>
      </c>
      <c r="J31" s="38">
        <v>1.601576937292103E-3</v>
      </c>
      <c r="K31" s="38">
        <v>4.4856048700852875E-3</v>
      </c>
      <c r="L31" s="38">
        <v>1.1736678760326967E-2</v>
      </c>
      <c r="M31" s="38">
        <v>8.1012197342071723E-3</v>
      </c>
      <c r="N31" s="38">
        <v>1.2150198432888979E-2</v>
      </c>
      <c r="O31" s="38">
        <v>1.1204123478620742E-2</v>
      </c>
      <c r="P31" s="38">
        <v>6.2595884115611046E-3</v>
      </c>
      <c r="Q31" s="38">
        <v>7.2776616911281126E-3</v>
      </c>
      <c r="R31" s="38">
        <v>1.3334555506775826E-2</v>
      </c>
      <c r="S31" s="38">
        <v>7.1123642166932123E-3</v>
      </c>
      <c r="T31" s="38">
        <v>7.3605198297109565E-3</v>
      </c>
      <c r="U31" s="38">
        <v>5.7350947512793066E-3</v>
      </c>
      <c r="V31" s="38">
        <v>6.2369944329785697E-3</v>
      </c>
      <c r="W31" s="38">
        <v>2.1671880633118961E-2</v>
      </c>
      <c r="X31" s="38">
        <v>1.1365006446389362E-2</v>
      </c>
      <c r="Y31" s="38">
        <v>2.6705810605738275E-2</v>
      </c>
      <c r="Z31" s="38">
        <v>1.859580537799144E-2</v>
      </c>
      <c r="AA31" s="38">
        <v>2.7924262970217467E-2</v>
      </c>
      <c r="AB31" s="38">
        <v>1.8564159061266468E-2</v>
      </c>
      <c r="AC31" s="38">
        <v>7.8405603082348327E-2</v>
      </c>
      <c r="AD31" s="38">
        <v>7.6501226049926888E-2</v>
      </c>
      <c r="AE31" s="38">
        <v>2.8811662961166679E-2</v>
      </c>
      <c r="AF31" s="38">
        <v>6.8579554111015181E-3</v>
      </c>
      <c r="AG31" s="38">
        <v>1.4669829658603153E-2</v>
      </c>
      <c r="AH31" s="38">
        <v>9.3370057471351686E-3</v>
      </c>
      <c r="AI31" s="38">
        <v>8.3628422896176603E-3</v>
      </c>
      <c r="AJ31" s="38">
        <v>2.4751330094841546E-2</v>
      </c>
      <c r="AK31" s="38">
        <v>1.1268250378982188E-2</v>
      </c>
      <c r="AL31" s="38">
        <v>1.4483393633358495E-2</v>
      </c>
      <c r="AM31" s="38">
        <v>0</v>
      </c>
      <c r="AN31" s="38">
        <v>3.461018606390015E-2</v>
      </c>
      <c r="AO31" s="31">
        <v>1.9702258512879513E-2</v>
      </c>
      <c r="AP31" s="59">
        <v>2.8046950595296525E-5</v>
      </c>
      <c r="AQ31" s="30">
        <v>5.1544166023787613E-2</v>
      </c>
      <c r="AR31" s="30">
        <v>0</v>
      </c>
      <c r="AS31" s="30">
        <v>0</v>
      </c>
      <c r="AT31" s="30">
        <v>0</v>
      </c>
      <c r="AU31" s="30">
        <v>0</v>
      </c>
      <c r="AV31" s="31">
        <v>2.4952389318539391E-2</v>
      </c>
      <c r="AW31" s="31">
        <v>3.270271139427245E-2</v>
      </c>
      <c r="AX31" s="31">
        <v>2.0059184026946054E-2</v>
      </c>
      <c r="AY31" s="31">
        <v>2.0059184026946054E-2</v>
      </c>
      <c r="AZ31" s="31">
        <v>3.0019365327050222E-3</v>
      </c>
      <c r="BA31" s="31">
        <v>7.4377651398915105E-3</v>
      </c>
      <c r="BB31" s="31">
        <v>1.8470052678648891E-2</v>
      </c>
      <c r="BC31" s="31">
        <v>2.6411356363469574E-2</v>
      </c>
      <c r="BD31" s="30">
        <v>2.6514939948906947E-2</v>
      </c>
      <c r="BE31" s="30">
        <v>0</v>
      </c>
      <c r="BF31" s="30">
        <v>0</v>
      </c>
      <c r="BG31" s="31">
        <v>2.3935703968934859E-2</v>
      </c>
      <c r="BH31" s="31">
        <v>6.7811043244410908E-3</v>
      </c>
      <c r="BI31" s="31">
        <v>1.041819993595834E-2</v>
      </c>
      <c r="BJ31" s="31">
        <v>2.4577523525526977E-2</v>
      </c>
      <c r="BK31" s="32">
        <v>3.2950470335794672E-2</v>
      </c>
    </row>
    <row r="32" spans="1:63">
      <c r="A32" s="10">
        <v>27</v>
      </c>
      <c r="B32" s="10" t="s">
        <v>119</v>
      </c>
      <c r="C32" s="12" t="s">
        <v>120</v>
      </c>
      <c r="D32" s="38">
        <v>7.3609349519840556E-4</v>
      </c>
      <c r="E32" s="38">
        <v>6.3996207632140319E-3</v>
      </c>
      <c r="F32" s="38">
        <v>3.4867829317011064E-3</v>
      </c>
      <c r="G32" s="38">
        <v>5.5313558736085179E-3</v>
      </c>
      <c r="H32" s="38">
        <v>2.3641422345164766E-3</v>
      </c>
      <c r="I32" s="38">
        <v>5.1548328436492614E-3</v>
      </c>
      <c r="J32" s="38">
        <v>1.9711716151287421E-3</v>
      </c>
      <c r="K32" s="38">
        <v>4.3838904739382286E-3</v>
      </c>
      <c r="L32" s="38">
        <v>4.5096239308767177E-3</v>
      </c>
      <c r="M32" s="38">
        <v>2.1239152861217306E-3</v>
      </c>
      <c r="N32" s="38">
        <v>2.0250330721481632E-3</v>
      </c>
      <c r="O32" s="38">
        <v>5.4064222427058451E-3</v>
      </c>
      <c r="P32" s="38">
        <v>4.014746934270905E-3</v>
      </c>
      <c r="Q32" s="38">
        <v>2.730579998501511E-3</v>
      </c>
      <c r="R32" s="38">
        <v>3.1551372291719936E-3</v>
      </c>
      <c r="S32" s="38">
        <v>1.8807191284410238E-3</v>
      </c>
      <c r="T32" s="38">
        <v>2.9165733064455898E-3</v>
      </c>
      <c r="U32" s="38">
        <v>2.3900000226325761E-3</v>
      </c>
      <c r="V32" s="38">
        <v>9.5669873641956212E-4</v>
      </c>
      <c r="W32" s="38">
        <v>3.7621966111156336E-3</v>
      </c>
      <c r="X32" s="38">
        <v>5.1535912769131251E-3</v>
      </c>
      <c r="Y32" s="38">
        <v>1.2342396006183608E-2</v>
      </c>
      <c r="Z32" s="38">
        <v>1.1411062391040202E-3</v>
      </c>
      <c r="AA32" s="38">
        <v>1.6071518256240269E-3</v>
      </c>
      <c r="AB32" s="38">
        <v>3.6248169229960235E-2</v>
      </c>
      <c r="AC32" s="38">
        <v>1.8293280219421407E-2</v>
      </c>
      <c r="AD32" s="38">
        <v>3.751307667439021E-2</v>
      </c>
      <c r="AE32" s="38">
        <v>2.2289022596347002E-2</v>
      </c>
      <c r="AF32" s="38">
        <v>2.0742471179726777E-2</v>
      </c>
      <c r="AG32" s="38">
        <v>3.3132076070484999E-3</v>
      </c>
      <c r="AH32" s="38">
        <v>9.1790089040336299E-3</v>
      </c>
      <c r="AI32" s="38">
        <v>1.6527462702881721E-2</v>
      </c>
      <c r="AJ32" s="38">
        <v>1.7460735281214355E-2</v>
      </c>
      <c r="AK32" s="38">
        <v>1.1417772941936938E-2</v>
      </c>
      <c r="AL32" s="38">
        <v>3.4011491709831074E-2</v>
      </c>
      <c r="AM32" s="38">
        <v>0</v>
      </c>
      <c r="AN32" s="38">
        <v>1.9109654041929082E-2</v>
      </c>
      <c r="AO32" s="31">
        <v>1.4062868789459421E-2</v>
      </c>
      <c r="AP32" s="59">
        <v>0</v>
      </c>
      <c r="AQ32" s="30">
        <v>0.24057550160851596</v>
      </c>
      <c r="AR32" s="30">
        <v>1.2941968214526066E-5</v>
      </c>
      <c r="AS32" s="30">
        <v>0</v>
      </c>
      <c r="AT32" s="30">
        <v>1.322028807705132E-2</v>
      </c>
      <c r="AU32" s="30">
        <v>0</v>
      </c>
      <c r="AV32" s="31">
        <v>0.11938742987912349</v>
      </c>
      <c r="AW32" s="31">
        <v>8.0664650110261499E-2</v>
      </c>
      <c r="AX32" s="31">
        <v>1.879442947850986E-4</v>
      </c>
      <c r="AY32" s="31">
        <v>1.879442947850986E-4</v>
      </c>
      <c r="AZ32" s="31">
        <v>2.8493659383687329E-4</v>
      </c>
      <c r="BA32" s="31">
        <v>2.5971322676338093E-4</v>
      </c>
      <c r="BB32" s="31">
        <v>7.5297076891503584E-2</v>
      </c>
      <c r="BC32" s="31">
        <v>6.064260062437872E-2</v>
      </c>
      <c r="BD32" s="30">
        <v>1.3748551031613934E-5</v>
      </c>
      <c r="BE32" s="30">
        <v>0</v>
      </c>
      <c r="BF32" s="30">
        <v>0</v>
      </c>
      <c r="BG32" s="31">
        <v>1.2411163220758912E-5</v>
      </c>
      <c r="BH32" s="31">
        <v>2.4271302612780994E-3</v>
      </c>
      <c r="BI32" s="31">
        <v>1.9151647000526443E-3</v>
      </c>
      <c r="BJ32" s="31">
        <v>0.13095853813771288</v>
      </c>
      <c r="BK32" s="32">
        <v>8.4654458355663834E-2</v>
      </c>
    </row>
    <row r="33" spans="1:63">
      <c r="A33" s="10">
        <v>28</v>
      </c>
      <c r="B33" s="10" t="s">
        <v>121</v>
      </c>
      <c r="C33" s="12" t="s">
        <v>218</v>
      </c>
      <c r="D33" s="38">
        <v>0.10491314096756658</v>
      </c>
      <c r="E33" s="38">
        <v>0.40199099312633324</v>
      </c>
      <c r="F33" s="38">
        <v>4.1301148243759418E-2</v>
      </c>
      <c r="G33" s="38">
        <v>3.5746387333195052E-2</v>
      </c>
      <c r="H33" s="38">
        <v>5.1118544846330757E-2</v>
      </c>
      <c r="I33" s="38">
        <v>2.6142366564221253E-2</v>
      </c>
      <c r="J33" s="38">
        <v>7.0715781692743618E-2</v>
      </c>
      <c r="K33" s="38">
        <v>1.846116290069115E-2</v>
      </c>
      <c r="L33" s="38">
        <v>8.2688580961955971E-2</v>
      </c>
      <c r="M33" s="38">
        <v>4.5815886886340189E-2</v>
      </c>
      <c r="N33" s="38">
        <v>3.2186832197008242E-2</v>
      </c>
      <c r="O33" s="38">
        <v>3.3322673488967058E-2</v>
      </c>
      <c r="P33" s="38">
        <v>2.3278698606968233E-2</v>
      </c>
      <c r="Q33" s="38">
        <v>2.13118438907435E-2</v>
      </c>
      <c r="R33" s="38">
        <v>3.2255730144103899E-2</v>
      </c>
      <c r="S33" s="38">
        <v>1.555650669946522E-2</v>
      </c>
      <c r="T33" s="38">
        <v>1.9687803420718502E-2</v>
      </c>
      <c r="U33" s="38">
        <v>2.1095824063407424E-2</v>
      </c>
      <c r="V33" s="38">
        <v>1.6332011366830091E-2</v>
      </c>
      <c r="W33" s="38">
        <v>9.432821240420064E-2</v>
      </c>
      <c r="X33" s="38">
        <v>5.2437087200066887E-2</v>
      </c>
      <c r="Y33" s="38">
        <v>1.4686068445163028E-2</v>
      </c>
      <c r="Z33" s="38">
        <v>2.8348037402926726E-2</v>
      </c>
      <c r="AA33" s="38">
        <v>8.8734870172266583E-2</v>
      </c>
      <c r="AB33" s="38">
        <v>6.5175844438639996E-2</v>
      </c>
      <c r="AC33" s="38">
        <v>3.7617139032194866E-2</v>
      </c>
      <c r="AD33" s="38">
        <v>2.9604717055319594E-3</v>
      </c>
      <c r="AE33" s="38">
        <v>7.4868706852533912E-2</v>
      </c>
      <c r="AF33" s="38">
        <v>2.6995073891625615E-2</v>
      </c>
      <c r="AG33" s="38">
        <v>3.7622678334827554E-2</v>
      </c>
      <c r="AH33" s="38">
        <v>3.4271642149303977E-2</v>
      </c>
      <c r="AI33" s="38">
        <v>1.8985250824089098E-2</v>
      </c>
      <c r="AJ33" s="38">
        <v>4.5139470514569222E-2</v>
      </c>
      <c r="AK33" s="38">
        <v>1.8608658046499218E-2</v>
      </c>
      <c r="AL33" s="38">
        <v>5.655079517946849E-2</v>
      </c>
      <c r="AM33" s="38">
        <v>6.1556329849012777E-2</v>
      </c>
      <c r="AN33" s="38">
        <v>5.3748598050212211E-2</v>
      </c>
      <c r="AO33" s="31">
        <v>3.654719933509467E-2</v>
      </c>
      <c r="AP33" s="59">
        <v>3.9419989061689267E-2</v>
      </c>
      <c r="AQ33" s="30">
        <v>2.6847839135374973E-2</v>
      </c>
      <c r="AR33" s="30">
        <v>2.9921830511984261E-4</v>
      </c>
      <c r="AS33" s="30">
        <v>2.3165160141022994E-3</v>
      </c>
      <c r="AT33" s="30">
        <v>6.5185132393778267E-3</v>
      </c>
      <c r="AU33" s="30">
        <v>-1.9430132224222484E-2</v>
      </c>
      <c r="AV33" s="31">
        <v>1.5396917102792897E-2</v>
      </c>
      <c r="AW33" s="31">
        <v>4.3231225516247383E-2</v>
      </c>
      <c r="AX33" s="31">
        <v>1.2792004628588908E-2</v>
      </c>
      <c r="AY33" s="31">
        <v>1.2792004628588908E-2</v>
      </c>
      <c r="AZ33" s="31">
        <v>1.9693522199669061E-2</v>
      </c>
      <c r="BA33" s="31">
        <v>1.7898745575531221E-2</v>
      </c>
      <c r="BB33" s="31">
        <v>1.6322868708156142E-2</v>
      </c>
      <c r="BC33" s="31">
        <v>3.6923053572675488E-2</v>
      </c>
      <c r="BD33" s="30">
        <v>4.5086654539298948E-3</v>
      </c>
      <c r="BE33" s="30">
        <v>0</v>
      </c>
      <c r="BF33" s="30">
        <v>0</v>
      </c>
      <c r="BG33" s="31">
        <v>4.0700858387076252E-3</v>
      </c>
      <c r="BH33" s="31">
        <v>2.9972731570329696E-2</v>
      </c>
      <c r="BI33" s="31">
        <v>2.4480886754970916E-2</v>
      </c>
      <c r="BJ33" s="31">
        <v>1.0134869625031157E-2</v>
      </c>
      <c r="BK33" s="32">
        <v>4.2010276176444677E-2</v>
      </c>
    </row>
    <row r="34" spans="1:63">
      <c r="A34" s="10">
        <v>29</v>
      </c>
      <c r="B34" s="10" t="s">
        <v>123</v>
      </c>
      <c r="C34" s="12" t="s">
        <v>219</v>
      </c>
      <c r="D34" s="38">
        <v>4.0570076100742885E-3</v>
      </c>
      <c r="E34" s="38">
        <v>3.0812988859919414E-3</v>
      </c>
      <c r="F34" s="38">
        <v>5.0578794285647535E-3</v>
      </c>
      <c r="G34" s="38">
        <v>4.7707944409873474E-3</v>
      </c>
      <c r="H34" s="38">
        <v>3.3451808488396402E-3</v>
      </c>
      <c r="I34" s="38">
        <v>1.6381247229089489E-2</v>
      </c>
      <c r="J34" s="38">
        <v>3.6959467783663916E-3</v>
      </c>
      <c r="K34" s="38">
        <v>3.676975420716171E-3</v>
      </c>
      <c r="L34" s="38">
        <v>5.9885474494033308E-3</v>
      </c>
      <c r="M34" s="38">
        <v>4.7939802172461922E-3</v>
      </c>
      <c r="N34" s="38">
        <v>2.2489060750992165E-3</v>
      </c>
      <c r="O34" s="38">
        <v>8.6532854267386515E-3</v>
      </c>
      <c r="P34" s="38">
        <v>7.4725545065961437E-3</v>
      </c>
      <c r="Q34" s="38">
        <v>8.6146468977114747E-3</v>
      </c>
      <c r="R34" s="38">
        <v>5.5962678682561356E-3</v>
      </c>
      <c r="S34" s="38">
        <v>5.8760539266774119E-3</v>
      </c>
      <c r="T34" s="38">
        <v>1.1386212562551349E-2</v>
      </c>
      <c r="U34" s="38">
        <v>2.2087130890976619E-2</v>
      </c>
      <c r="V34" s="38">
        <v>2.4612991230734725E-3</v>
      </c>
      <c r="W34" s="38">
        <v>4.9077186086268852E-3</v>
      </c>
      <c r="X34" s="38">
        <v>8.410668004347463E-3</v>
      </c>
      <c r="Y34" s="38">
        <v>1.418613226680282E-2</v>
      </c>
      <c r="Z34" s="38">
        <v>3.736066353214644E-2</v>
      </c>
      <c r="AA34" s="38">
        <v>9.8036261363065643E-3</v>
      </c>
      <c r="AB34" s="38">
        <v>4.1850605716571371E-2</v>
      </c>
      <c r="AC34" s="38">
        <v>5.6959364592176584E-2</v>
      </c>
      <c r="AD34" s="38">
        <v>2.1431050876107396E-3</v>
      </c>
      <c r="AE34" s="38">
        <v>7.6270874449977351E-3</v>
      </c>
      <c r="AF34" s="38">
        <v>0.19853537148951297</v>
      </c>
      <c r="AG34" s="38">
        <v>2.7235582072500219E-2</v>
      </c>
      <c r="AH34" s="38">
        <v>3.2410621641617586E-2</v>
      </c>
      <c r="AI34" s="38">
        <v>1.2579339733534329E-2</v>
      </c>
      <c r="AJ34" s="38">
        <v>6.4658163631577684E-2</v>
      </c>
      <c r="AK34" s="38">
        <v>5.7701907217799164E-2</v>
      </c>
      <c r="AL34" s="38">
        <v>2.3552799396132123E-2</v>
      </c>
      <c r="AM34" s="38">
        <v>0</v>
      </c>
      <c r="AN34" s="38">
        <v>4.345325396140684E-2</v>
      </c>
      <c r="AO34" s="31">
        <v>2.4744390029378754E-2</v>
      </c>
      <c r="AP34" s="59">
        <v>1.9429525024891668E-2</v>
      </c>
      <c r="AQ34" s="30">
        <v>5.6041682758030252E-2</v>
      </c>
      <c r="AR34" s="30">
        <v>2.0707149143241705E-4</v>
      </c>
      <c r="AS34" s="30">
        <v>4.308414981491579E-2</v>
      </c>
      <c r="AT34" s="30">
        <v>8.5615237183778295E-2</v>
      </c>
      <c r="AU34" s="30">
        <v>1.1070416123492044E-2</v>
      </c>
      <c r="AV34" s="31">
        <v>4.923242909640501E-2</v>
      </c>
      <c r="AW34" s="31">
        <v>5.1170065818784229E-2</v>
      </c>
      <c r="AX34" s="31">
        <v>5.3022402222901929E-3</v>
      </c>
      <c r="AY34" s="31">
        <v>5.3022402222901929E-3</v>
      </c>
      <c r="AZ34" s="31">
        <v>1.8559992622732554E-2</v>
      </c>
      <c r="BA34" s="31">
        <v>1.5112243073179904E-2</v>
      </c>
      <c r="BB34" s="31">
        <v>3.6604208829602421E-2</v>
      </c>
      <c r="BC34" s="31">
        <v>4.2191120752118193E-2</v>
      </c>
      <c r="BD34" s="30">
        <v>4.6112640160033136E-2</v>
      </c>
      <c r="BE34" s="30">
        <v>0</v>
      </c>
      <c r="BF34" s="30">
        <v>5.8261168930907555E-4</v>
      </c>
      <c r="BG34" s="31">
        <v>4.167823749071102E-2</v>
      </c>
      <c r="BH34" s="31">
        <v>7.0539138492941827E-2</v>
      </c>
      <c r="BI34" s="31">
        <v>6.4420088293286465E-2</v>
      </c>
      <c r="BJ34" s="31">
        <v>1.550537874245932E-2</v>
      </c>
      <c r="BK34" s="32">
        <v>3.310237376851638E-2</v>
      </c>
    </row>
    <row r="35" spans="1:63">
      <c r="A35" s="10">
        <v>30</v>
      </c>
      <c r="B35" s="10" t="s">
        <v>125</v>
      </c>
      <c r="C35" s="12" t="s">
        <v>69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0</v>
      </c>
      <c r="AK35" s="38">
        <v>0</v>
      </c>
      <c r="AL35" s="38">
        <v>0</v>
      </c>
      <c r="AM35" s="38">
        <v>0</v>
      </c>
      <c r="AN35" s="38">
        <v>0.10150116469674747</v>
      </c>
      <c r="AO35" s="31">
        <v>4.7467301088204185E-4</v>
      </c>
      <c r="AP35" s="59">
        <v>0</v>
      </c>
      <c r="AQ35" s="30">
        <v>4.8457881262952574E-3</v>
      </c>
      <c r="AR35" s="30">
        <v>0.31180669876274786</v>
      </c>
      <c r="AS35" s="30">
        <v>0</v>
      </c>
      <c r="AT35" s="30">
        <v>0</v>
      </c>
      <c r="AU35" s="30">
        <v>0</v>
      </c>
      <c r="AV35" s="31">
        <v>7.0179552239982609E-2</v>
      </c>
      <c r="AW35" s="31">
        <v>4.0052651468303807E-2</v>
      </c>
      <c r="AX35" s="31">
        <v>0</v>
      </c>
      <c r="AY35" s="31">
        <v>0</v>
      </c>
      <c r="AZ35" s="31">
        <v>0</v>
      </c>
      <c r="BA35" s="31">
        <v>0</v>
      </c>
      <c r="BB35" s="31">
        <v>4.42054018262414E-2</v>
      </c>
      <c r="BC35" s="31">
        <v>3.0078933425329021E-2</v>
      </c>
      <c r="BD35" s="30">
        <v>0</v>
      </c>
      <c r="BE35" s="30">
        <v>0</v>
      </c>
      <c r="BF35" s="30">
        <v>0</v>
      </c>
      <c r="BG35" s="31">
        <v>0</v>
      </c>
      <c r="BH35" s="31">
        <v>0</v>
      </c>
      <c r="BI35" s="31">
        <v>0</v>
      </c>
      <c r="BJ35" s="31">
        <v>7.7735970697286716E-2</v>
      </c>
      <c r="BK35" s="32">
        <v>4.2377292084277825E-2</v>
      </c>
    </row>
    <row r="36" spans="1:63">
      <c r="A36" s="10">
        <v>31</v>
      </c>
      <c r="B36" s="10" t="s">
        <v>126</v>
      </c>
      <c r="C36" s="12" t="s">
        <v>127</v>
      </c>
      <c r="D36" s="38">
        <v>2.26490306214894E-5</v>
      </c>
      <c r="E36" s="38">
        <v>0</v>
      </c>
      <c r="F36" s="38">
        <v>3.2560828884813515E-4</v>
      </c>
      <c r="G36" s="38">
        <v>0</v>
      </c>
      <c r="H36" s="38">
        <v>6.4330400939223854E-5</v>
      </c>
      <c r="I36" s="38">
        <v>3.1560201083566906E-4</v>
      </c>
      <c r="J36" s="38">
        <v>0</v>
      </c>
      <c r="K36" s="38">
        <v>1.8308591306470562E-4</v>
      </c>
      <c r="L36" s="38">
        <v>4.2254957672188952E-4</v>
      </c>
      <c r="M36" s="38">
        <v>3.337581163905577E-4</v>
      </c>
      <c r="N36" s="38">
        <v>6.105627353210542E-5</v>
      </c>
      <c r="O36" s="38">
        <v>6.1701687390658215E-4</v>
      </c>
      <c r="P36" s="38">
        <v>7.1752923931650212E-4</v>
      </c>
      <c r="Q36" s="38">
        <v>3.6296734126422522E-4</v>
      </c>
      <c r="R36" s="38">
        <v>3.0875960652447645E-4</v>
      </c>
      <c r="S36" s="38">
        <v>1.5656748074331366E-3</v>
      </c>
      <c r="T36" s="38">
        <v>1.4041377249981329E-3</v>
      </c>
      <c r="U36" s="38">
        <v>2.1704640357051519E-3</v>
      </c>
      <c r="V36" s="38">
        <v>3.6337518772018974E-4</v>
      </c>
      <c r="W36" s="38">
        <v>1.8025980671496853E-4</v>
      </c>
      <c r="X36" s="38">
        <v>1.6985025895564093E-4</v>
      </c>
      <c r="Y36" s="38">
        <v>1.0105092966855296E-3</v>
      </c>
      <c r="Z36" s="38">
        <v>1.1622378361244651E-4</v>
      </c>
      <c r="AA36" s="38">
        <v>2.4107277384360405E-4</v>
      </c>
      <c r="AB36" s="38">
        <v>2.2930421687006639E-4</v>
      </c>
      <c r="AC36" s="38">
        <v>1.9999346960099262E-4</v>
      </c>
      <c r="AD36" s="38">
        <v>7.9433101838796876E-7</v>
      </c>
      <c r="AE36" s="38">
        <v>6.5146371251082434E-4</v>
      </c>
      <c r="AF36" s="38">
        <v>5.1048702452897261E-3</v>
      </c>
      <c r="AG36" s="38">
        <v>8.092604787331106E-5</v>
      </c>
      <c r="AH36" s="38">
        <v>1.5192004144378731E-6</v>
      </c>
      <c r="AI36" s="38">
        <v>8.5651428054024027E-5</v>
      </c>
      <c r="AJ36" s="38">
        <v>0</v>
      </c>
      <c r="AK36" s="38">
        <v>4.7387150721043804E-4</v>
      </c>
      <c r="AL36" s="38">
        <v>5.2057575678700644E-4</v>
      </c>
      <c r="AM36" s="38">
        <v>0</v>
      </c>
      <c r="AN36" s="38">
        <v>2.458804244672591E-3</v>
      </c>
      <c r="AO36" s="31">
        <v>5.6377086318671753E-4</v>
      </c>
      <c r="AP36" s="59">
        <v>7.0117376488241312E-6</v>
      </c>
      <c r="AQ36" s="30">
        <v>1.5988611502215259E-2</v>
      </c>
      <c r="AR36" s="30">
        <v>0.17460889372055702</v>
      </c>
      <c r="AS36" s="30">
        <v>7.6050475664728334E-2</v>
      </c>
      <c r="AT36" s="30">
        <v>0.20412440408164303</v>
      </c>
      <c r="AU36" s="30">
        <v>0</v>
      </c>
      <c r="AV36" s="31">
        <v>9.5943491104601597E-2</v>
      </c>
      <c r="AW36" s="31">
        <v>5.4676075003492343E-2</v>
      </c>
      <c r="AX36" s="31">
        <v>8.2275378928864922E-3</v>
      </c>
      <c r="AY36" s="31">
        <v>8.2275378928864922E-3</v>
      </c>
      <c r="AZ36" s="31">
        <v>1.5811390625275223E-3</v>
      </c>
      <c r="BA36" s="31">
        <v>3.3095706911611062E-3</v>
      </c>
      <c r="BB36" s="31">
        <v>6.1658755659076164E-2</v>
      </c>
      <c r="BC36" s="31">
        <v>4.1885035906620877E-2</v>
      </c>
      <c r="BD36" s="30">
        <v>3.9832130191903993E-2</v>
      </c>
      <c r="BE36" s="30">
        <v>0</v>
      </c>
      <c r="BF36" s="30">
        <v>0</v>
      </c>
      <c r="BG36" s="31">
        <v>3.5957466943642456E-2</v>
      </c>
      <c r="BH36" s="31">
        <v>3.610056237875045E-2</v>
      </c>
      <c r="BI36" s="31">
        <v>3.6070223473159815E-2</v>
      </c>
      <c r="BJ36" s="31">
        <v>8.1068103958665635E-2</v>
      </c>
      <c r="BK36" s="32">
        <v>4.4262535395382649E-2</v>
      </c>
    </row>
    <row r="37" spans="1:63">
      <c r="A37" s="10">
        <v>32</v>
      </c>
      <c r="B37" s="10" t="s">
        <v>128</v>
      </c>
      <c r="C37" s="12" t="s">
        <v>220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7.5143335913254535E-6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5.282899255111205E-5</v>
      </c>
      <c r="AA37" s="38">
        <v>0</v>
      </c>
      <c r="AB37" s="38">
        <v>9.482505208912521E-6</v>
      </c>
      <c r="AC37" s="38">
        <v>4.8977992555345133E-5</v>
      </c>
      <c r="AD37" s="38">
        <v>3.9716550919398435E-6</v>
      </c>
      <c r="AE37" s="38">
        <v>1.7286997776700007E-4</v>
      </c>
      <c r="AF37" s="38">
        <v>1.848560255954497E-4</v>
      </c>
      <c r="AG37" s="38">
        <v>7.9339262620893206E-6</v>
      </c>
      <c r="AH37" s="38">
        <v>9.1152024866272375E-6</v>
      </c>
      <c r="AI37" s="38">
        <v>1.1402244393706171E-2</v>
      </c>
      <c r="AJ37" s="38">
        <v>0</v>
      </c>
      <c r="AK37" s="38">
        <v>1.0351562050713452E-5</v>
      </c>
      <c r="AL37" s="38">
        <v>1.1224914755719826E-4</v>
      </c>
      <c r="AM37" s="38">
        <v>0</v>
      </c>
      <c r="AN37" s="38">
        <v>5.751588876427113E-5</v>
      </c>
      <c r="AO37" s="31">
        <v>9.626602668631975E-4</v>
      </c>
      <c r="AP37" s="59">
        <v>6.7473951394634621E-2</v>
      </c>
      <c r="AQ37" s="30">
        <v>5.4720019579505917E-2</v>
      </c>
      <c r="AR37" s="30">
        <v>0.50658280271263656</v>
      </c>
      <c r="AS37" s="30">
        <v>0</v>
      </c>
      <c r="AT37" s="30">
        <v>0</v>
      </c>
      <c r="AU37" s="30">
        <v>0</v>
      </c>
      <c r="AV37" s="31">
        <v>0.13778052573904953</v>
      </c>
      <c r="AW37" s="31">
        <v>7.8662732530108845E-2</v>
      </c>
      <c r="AX37" s="31">
        <v>1.1055546752064623E-5</v>
      </c>
      <c r="AY37" s="31">
        <v>1.1055546752064623E-5</v>
      </c>
      <c r="AZ37" s="31">
        <v>1.6479696454456253E-3</v>
      </c>
      <c r="BA37" s="31">
        <v>1.2222813631513508E-3</v>
      </c>
      <c r="BB37" s="31">
        <v>8.7238961046147076E-2</v>
      </c>
      <c r="BC37" s="31">
        <v>5.9378884975816053E-2</v>
      </c>
      <c r="BD37" s="30">
        <v>5.8431341884359219E-5</v>
      </c>
      <c r="BE37" s="30">
        <v>0</v>
      </c>
      <c r="BF37" s="30">
        <v>0</v>
      </c>
      <c r="BG37" s="31">
        <v>5.2747443688225376E-5</v>
      </c>
      <c r="BH37" s="31">
        <v>3.7823075582493521E-3</v>
      </c>
      <c r="BI37" s="31">
        <v>2.9915711373085102E-3</v>
      </c>
      <c r="BJ37" s="31">
        <v>0.1511420767931283</v>
      </c>
      <c r="BK37" s="32">
        <v>8.2433938145244967E-2</v>
      </c>
    </row>
    <row r="38" spans="1:63">
      <c r="A38" s="10">
        <v>33</v>
      </c>
      <c r="B38" s="10" t="s">
        <v>130</v>
      </c>
      <c r="C38" s="12" t="s">
        <v>221</v>
      </c>
      <c r="D38" s="38">
        <v>4.2042263091139698E-3</v>
      </c>
      <c r="E38" s="38">
        <v>3.7923678596823891E-3</v>
      </c>
      <c r="F38" s="38">
        <v>2.9319347264890375E-3</v>
      </c>
      <c r="G38" s="38">
        <v>2.4891101431238332E-3</v>
      </c>
      <c r="H38" s="38">
        <v>9.3279081361874591E-4</v>
      </c>
      <c r="I38" s="38">
        <v>3.1560201083566902E-3</v>
      </c>
      <c r="J38" s="38">
        <v>8.6238758161882466E-4</v>
      </c>
      <c r="K38" s="38">
        <v>8.7474380686470459E-4</v>
      </c>
      <c r="L38" s="38">
        <v>1.7120543194766213E-3</v>
      </c>
      <c r="M38" s="38">
        <v>8.1922446750409611E-4</v>
      </c>
      <c r="N38" s="38">
        <v>2.3201383942200063E-3</v>
      </c>
      <c r="O38" s="38">
        <v>5.5305780770894858E-4</v>
      </c>
      <c r="P38" s="38">
        <v>4.9646189748898933E-3</v>
      </c>
      <c r="Q38" s="38">
        <v>8.0418910931477432E-4</v>
      </c>
      <c r="R38" s="38">
        <v>9.1180571301759453E-4</v>
      </c>
      <c r="S38" s="38">
        <v>8.5125611989504885E-4</v>
      </c>
      <c r="T38" s="38">
        <v>8.1783553663455075E-4</v>
      </c>
      <c r="U38" s="38">
        <v>5.3412879293682572E-4</v>
      </c>
      <c r="V38" s="38">
        <v>1.7317098789790294E-4</v>
      </c>
      <c r="W38" s="38">
        <v>1.3025224743275145E-3</v>
      </c>
      <c r="X38" s="38">
        <v>1.7169837058158312E-3</v>
      </c>
      <c r="Y38" s="38">
        <v>4.5490646584124012E-3</v>
      </c>
      <c r="Z38" s="38">
        <v>1.6366421892334514E-2</v>
      </c>
      <c r="AA38" s="38">
        <v>3.756717392396163E-3</v>
      </c>
      <c r="AB38" s="38">
        <v>1.2542768253607016E-3</v>
      </c>
      <c r="AC38" s="38">
        <v>6.4406060210278849E-3</v>
      </c>
      <c r="AD38" s="38">
        <v>3.0899476615291985E-4</v>
      </c>
      <c r="AE38" s="38">
        <v>2.3145369245470568E-3</v>
      </c>
      <c r="AF38" s="38">
        <v>2.4193794119140724E-3</v>
      </c>
      <c r="AG38" s="38">
        <v>3.1735705048357282E-6</v>
      </c>
      <c r="AH38" s="38">
        <v>4.0577843069635588E-3</v>
      </c>
      <c r="AI38" s="38">
        <v>1.7994957170207333E-3</v>
      </c>
      <c r="AJ38" s="38">
        <v>0</v>
      </c>
      <c r="AK38" s="38">
        <v>3.8335284794475486E-3</v>
      </c>
      <c r="AL38" s="38">
        <v>4.472071110648377E-3</v>
      </c>
      <c r="AM38" s="38">
        <v>0</v>
      </c>
      <c r="AN38" s="38">
        <v>4.7450608230523682E-4</v>
      </c>
      <c r="AO38" s="31">
        <v>2.1575128990154856E-3</v>
      </c>
      <c r="AP38" s="59">
        <v>0</v>
      </c>
      <c r="AQ38" s="30">
        <v>2.2248190710343358E-2</v>
      </c>
      <c r="AR38" s="30">
        <v>0</v>
      </c>
      <c r="AS38" s="30">
        <v>0</v>
      </c>
      <c r="AT38" s="30">
        <v>0</v>
      </c>
      <c r="AU38" s="30">
        <v>0</v>
      </c>
      <c r="AV38" s="31">
        <v>1.0770093622139558E-2</v>
      </c>
      <c r="AW38" s="31">
        <v>8.1169848460832406E-3</v>
      </c>
      <c r="AX38" s="31">
        <v>5.7783657690791096E-4</v>
      </c>
      <c r="AY38" s="31">
        <v>5.7783657690791096E-4</v>
      </c>
      <c r="AZ38" s="31">
        <v>0</v>
      </c>
      <c r="BA38" s="31">
        <v>1.5026949799445806E-4</v>
      </c>
      <c r="BB38" s="31">
        <v>6.8395910702741649E-3</v>
      </c>
      <c r="BC38" s="31">
        <v>6.1331518238585524E-3</v>
      </c>
      <c r="BD38" s="30">
        <v>1.4272714539694214E-3</v>
      </c>
      <c r="BE38" s="30">
        <v>0</v>
      </c>
      <c r="BF38" s="30">
        <v>0</v>
      </c>
      <c r="BG38" s="31">
        <v>1.2884338818550346E-3</v>
      </c>
      <c r="BH38" s="31">
        <v>3.072263947546102E-4</v>
      </c>
      <c r="BI38" s="31">
        <v>5.1526071320437395E-4</v>
      </c>
      <c r="BJ38" s="31">
        <v>1.1636706034515666E-2</v>
      </c>
      <c r="BK38" s="32">
        <v>8.4301361885888854E-3</v>
      </c>
    </row>
    <row r="39" spans="1:63">
      <c r="A39" s="10">
        <v>34</v>
      </c>
      <c r="B39" s="10" t="s">
        <v>131</v>
      </c>
      <c r="C39" s="12" t="s">
        <v>132</v>
      </c>
      <c r="D39" s="38">
        <v>2.3430422177930784E-2</v>
      </c>
      <c r="E39" s="38">
        <v>2.8916804930078217E-2</v>
      </c>
      <c r="F39" s="38">
        <v>5.4033454426520577E-2</v>
      </c>
      <c r="G39" s="38">
        <v>3.8304639424738988E-2</v>
      </c>
      <c r="H39" s="38">
        <v>2.221811222438444E-2</v>
      </c>
      <c r="I39" s="38">
        <v>7.8141555016193395E-2</v>
      </c>
      <c r="J39" s="38">
        <v>3.3140322779351979E-2</v>
      </c>
      <c r="K39" s="38">
        <v>4.2974332372132287E-2</v>
      </c>
      <c r="L39" s="38">
        <v>5.7444886421587911E-2</v>
      </c>
      <c r="M39" s="38">
        <v>2.0298561805934826E-2</v>
      </c>
      <c r="N39" s="38">
        <v>2.4249516637834537E-2</v>
      </c>
      <c r="O39" s="38">
        <v>3.2363287496002556E-2</v>
      </c>
      <c r="P39" s="38">
        <v>4.3096172835709719E-2</v>
      </c>
      <c r="Q39" s="38">
        <v>3.7244112186878231E-2</v>
      </c>
      <c r="R39" s="38">
        <v>3.7794105586136696E-2</v>
      </c>
      <c r="S39" s="38">
        <v>5.2978362183225325E-2</v>
      </c>
      <c r="T39" s="38">
        <v>4.4502950182986035E-2</v>
      </c>
      <c r="U39" s="38">
        <v>4.3628816701030464E-2</v>
      </c>
      <c r="V39" s="38">
        <v>3.1721518340510943E-2</v>
      </c>
      <c r="W39" s="38">
        <v>3.5383255608405925E-2</v>
      </c>
      <c r="X39" s="38">
        <v>0.10859415908720886</v>
      </c>
      <c r="Y39" s="38">
        <v>0.1914968301918904</v>
      </c>
      <c r="Z39" s="38">
        <v>0.15826509588462148</v>
      </c>
      <c r="AA39" s="38">
        <v>6.2769323489528406E-2</v>
      </c>
      <c r="AB39" s="38">
        <v>8.1310758074568695E-2</v>
      </c>
      <c r="AC39" s="38">
        <v>0.12169602625220401</v>
      </c>
      <c r="AD39" s="38">
        <v>1.9059178455200922E-2</v>
      </c>
      <c r="AE39" s="38">
        <v>0.20691896079532995</v>
      </c>
      <c r="AF39" s="38">
        <v>0.14838657254583312</v>
      </c>
      <c r="AG39" s="38">
        <v>8.4120246586428221E-2</v>
      </c>
      <c r="AH39" s="38">
        <v>9.724249932775382E-2</v>
      </c>
      <c r="AI39" s="38">
        <v>4.9009747132512549E-2</v>
      </c>
      <c r="AJ39" s="38">
        <v>7.8609203378879611E-2</v>
      </c>
      <c r="AK39" s="38">
        <v>0.1504024457290605</v>
      </c>
      <c r="AL39" s="38">
        <v>3.8537247195398111E-2</v>
      </c>
      <c r="AM39" s="38">
        <v>0</v>
      </c>
      <c r="AN39" s="38">
        <v>2.8283438299830328E-2</v>
      </c>
      <c r="AO39" s="31">
        <v>7.626930817703105E-2</v>
      </c>
      <c r="AP39" s="59">
        <v>8.4491438668330785E-3</v>
      </c>
      <c r="AQ39" s="30">
        <v>1.6270811367652682E-2</v>
      </c>
      <c r="AR39" s="30">
        <v>0</v>
      </c>
      <c r="AS39" s="30">
        <v>6.0520674228082003E-3</v>
      </c>
      <c r="AT39" s="30">
        <v>1.4735759682957435E-2</v>
      </c>
      <c r="AU39" s="30">
        <v>0</v>
      </c>
      <c r="AV39" s="31">
        <v>1.1674781035913826E-2</v>
      </c>
      <c r="AW39" s="31">
        <v>7.8673854647526117E-2</v>
      </c>
      <c r="AX39" s="31">
        <v>2.4110673393352669E-2</v>
      </c>
      <c r="AY39" s="31">
        <v>2.4110673393352669E-2</v>
      </c>
      <c r="AZ39" s="31">
        <v>2.0820575944927457E-2</v>
      </c>
      <c r="BA39" s="31">
        <v>2.1676183415422517E-2</v>
      </c>
      <c r="BB39" s="31">
        <v>1.5376399548174833E-2</v>
      </c>
      <c r="BC39" s="31">
        <v>6.448056953068311E-2</v>
      </c>
      <c r="BD39" s="30">
        <v>4.5501688923565792E-2</v>
      </c>
      <c r="BE39" s="30">
        <v>0</v>
      </c>
      <c r="BF39" s="30">
        <v>0</v>
      </c>
      <c r="BG39" s="31">
        <v>4.1075520376802913E-2</v>
      </c>
      <c r="BH39" s="31">
        <v>8.9452763420022521E-2</v>
      </c>
      <c r="BI39" s="31">
        <v>7.9195884098080774E-2</v>
      </c>
      <c r="BJ39" s="31">
        <v>-3.3031793423954986E-2</v>
      </c>
      <c r="BK39" s="32">
        <v>5.8463926128802544E-2</v>
      </c>
    </row>
    <row r="40" spans="1:63">
      <c r="A40" s="10">
        <v>35</v>
      </c>
      <c r="B40" s="10" t="s">
        <v>133</v>
      </c>
      <c r="C40" s="12" t="s">
        <v>222</v>
      </c>
      <c r="D40" s="38">
        <v>7.0778220692154371E-4</v>
      </c>
      <c r="E40" s="38">
        <v>2.3702299123014932E-4</v>
      </c>
      <c r="F40" s="38">
        <v>4.3073742246726396E-4</v>
      </c>
      <c r="G40" s="38">
        <v>0</v>
      </c>
      <c r="H40" s="38">
        <v>7.2371701056626829E-5</v>
      </c>
      <c r="I40" s="38">
        <v>2.0288700696578725E-4</v>
      </c>
      <c r="J40" s="38">
        <v>0</v>
      </c>
      <c r="K40" s="38">
        <v>9.1542956532352808E-5</v>
      </c>
      <c r="L40" s="38">
        <v>4.3712025178126504E-4</v>
      </c>
      <c r="M40" s="38">
        <v>3.0341646944596154E-5</v>
      </c>
      <c r="N40" s="38">
        <v>6.105627353210542E-5</v>
      </c>
      <c r="O40" s="38">
        <v>9.029515227901202E-5</v>
      </c>
      <c r="P40" s="38">
        <v>1.6400668327234334E-4</v>
      </c>
      <c r="Q40" s="38">
        <v>1.1155418286561051E-4</v>
      </c>
      <c r="R40" s="38">
        <v>1.3508232785445844E-4</v>
      </c>
      <c r="S40" s="38">
        <v>3.1186205513912069E-4</v>
      </c>
      <c r="T40" s="38">
        <v>1.4564194488012549E-4</v>
      </c>
      <c r="U40" s="38">
        <v>2.0595644134428447E-4</v>
      </c>
      <c r="V40" s="38">
        <v>9.3682665584111414E-5</v>
      </c>
      <c r="W40" s="38">
        <v>2.384081314617326E-4</v>
      </c>
      <c r="X40" s="38">
        <v>3.4410078368733471E-4</v>
      </c>
      <c r="Y40" s="38">
        <v>1.4182586620147783E-4</v>
      </c>
      <c r="Z40" s="38">
        <v>4.0150034338845157E-4</v>
      </c>
      <c r="AA40" s="38">
        <v>6.0268193460901012E-5</v>
      </c>
      <c r="AB40" s="38">
        <v>6.4739649199030023E-4</v>
      </c>
      <c r="AC40" s="38">
        <v>2.7754195781362243E-4</v>
      </c>
      <c r="AD40" s="38">
        <v>6.8947932396075688E-4</v>
      </c>
      <c r="AE40" s="38">
        <v>4.113665211677687E-4</v>
      </c>
      <c r="AF40" s="38">
        <v>9.7547102737291155E-3</v>
      </c>
      <c r="AG40" s="38">
        <v>4.014566688617196E-4</v>
      </c>
      <c r="AH40" s="38">
        <v>1.1187391851920497E-2</v>
      </c>
      <c r="AI40" s="38">
        <v>2.5025715821613365E-2</v>
      </c>
      <c r="AJ40" s="38">
        <v>2.3690444853908922E-3</v>
      </c>
      <c r="AK40" s="38">
        <v>2.0852646664381654E-3</v>
      </c>
      <c r="AL40" s="38">
        <v>1.2475923371248601E-2</v>
      </c>
      <c r="AM40" s="38">
        <v>0</v>
      </c>
      <c r="AN40" s="38">
        <v>3.4221953814741321E-3</v>
      </c>
      <c r="AO40" s="31">
        <v>3.8218607800668269E-3</v>
      </c>
      <c r="AP40" s="59">
        <v>0.50801441613260601</v>
      </c>
      <c r="AQ40" s="30">
        <v>0.10361899807648105</v>
      </c>
      <c r="AR40" s="30">
        <v>0</v>
      </c>
      <c r="AS40" s="30">
        <v>0</v>
      </c>
      <c r="AT40" s="30">
        <v>1.3978787469997277E-3</v>
      </c>
      <c r="AU40" s="30">
        <v>0</v>
      </c>
      <c r="AV40" s="31">
        <v>5.8629668296297795E-2</v>
      </c>
      <c r="AW40" s="31">
        <v>3.6698347965167306E-2</v>
      </c>
      <c r="AX40" s="31">
        <v>1.2620275135706837E-2</v>
      </c>
      <c r="AY40" s="31">
        <v>1.2620275135706837E-2</v>
      </c>
      <c r="AZ40" s="31">
        <v>3.4226583651685218E-2</v>
      </c>
      <c r="BA40" s="31">
        <v>2.8607747350973003E-2</v>
      </c>
      <c r="BB40" s="31">
        <v>4.751825670340578E-2</v>
      </c>
      <c r="BC40" s="31">
        <v>3.4683665631635649E-2</v>
      </c>
      <c r="BD40" s="30">
        <v>5.0130654199022308E-3</v>
      </c>
      <c r="BE40" s="30">
        <v>0</v>
      </c>
      <c r="BF40" s="30">
        <v>2.4716859546445626E-4</v>
      </c>
      <c r="BG40" s="31">
        <v>4.5471399250055465E-3</v>
      </c>
      <c r="BH40" s="31">
        <v>2.2147850615339821E-2</v>
      </c>
      <c r="BI40" s="31">
        <v>1.8416171127736799E-2</v>
      </c>
      <c r="BJ40" s="31">
        <v>6.9592696576651292E-2</v>
      </c>
      <c r="BK40" s="32">
        <v>4.1334948077806299E-2</v>
      </c>
    </row>
    <row r="41" spans="1:63">
      <c r="A41" s="10">
        <v>36</v>
      </c>
      <c r="B41" s="10" t="s">
        <v>135</v>
      </c>
      <c r="C41" s="12" t="s">
        <v>223</v>
      </c>
      <c r="D41" s="38">
        <v>3.0859304221779308E-4</v>
      </c>
      <c r="E41" s="38">
        <v>7.1106897369044796E-4</v>
      </c>
      <c r="F41" s="38">
        <v>7.0524127136165592E-4</v>
      </c>
      <c r="G41" s="38">
        <v>1.1754131231418101E-3</v>
      </c>
      <c r="H41" s="38">
        <v>6.835105099792534E-4</v>
      </c>
      <c r="I41" s="38">
        <v>7.5143335913254534E-4</v>
      </c>
      <c r="J41" s="38">
        <v>2.4639645189109276E-4</v>
      </c>
      <c r="K41" s="38">
        <v>1.3731443479852922E-4</v>
      </c>
      <c r="L41" s="38">
        <v>1.1000859669828503E-3</v>
      </c>
      <c r="M41" s="38">
        <v>4.2478305722434611E-4</v>
      </c>
      <c r="N41" s="38">
        <v>4.8845018825684336E-4</v>
      </c>
      <c r="O41" s="38">
        <v>7.1107432419721965E-4</v>
      </c>
      <c r="P41" s="38">
        <v>7.5853091013458802E-4</v>
      </c>
      <c r="Q41" s="38">
        <v>1.0223025116341024E-3</v>
      </c>
      <c r="R41" s="38">
        <v>7.5260154090341135E-4</v>
      </c>
      <c r="S41" s="38">
        <v>2.6046846135854111E-3</v>
      </c>
      <c r="T41" s="38">
        <v>7.0580327134214652E-4</v>
      </c>
      <c r="U41" s="38">
        <v>9.2114584205630528E-4</v>
      </c>
      <c r="V41" s="38">
        <v>4.2299142945553337E-4</v>
      </c>
      <c r="W41" s="38">
        <v>1.6979310826055101E-3</v>
      </c>
      <c r="X41" s="38">
        <v>9.3285634452320925E-4</v>
      </c>
      <c r="Y41" s="38">
        <v>1.2055198627125616E-4</v>
      </c>
      <c r="Z41" s="38">
        <v>9.9318505996090663E-4</v>
      </c>
      <c r="AA41" s="38">
        <v>2.8627391893927979E-3</v>
      </c>
      <c r="AB41" s="38">
        <v>2.017187471714118E-3</v>
      </c>
      <c r="AC41" s="38">
        <v>3.2958107490367664E-3</v>
      </c>
      <c r="AD41" s="38">
        <v>2.565689189393139E-4</v>
      </c>
      <c r="AE41" s="38">
        <v>1.613453125825334E-3</v>
      </c>
      <c r="AF41" s="38">
        <v>2.0537301305164797E-3</v>
      </c>
      <c r="AG41" s="38">
        <v>2.8593870248569912E-3</v>
      </c>
      <c r="AH41" s="38">
        <v>4.0091698937015467E-3</v>
      </c>
      <c r="AI41" s="38">
        <v>2.5026531549499592E-3</v>
      </c>
      <c r="AJ41" s="38">
        <v>4.6184402593984061E-3</v>
      </c>
      <c r="AK41" s="38">
        <v>1.5596353489741603E-3</v>
      </c>
      <c r="AL41" s="38">
        <v>1.8220151487545226E-3</v>
      </c>
      <c r="AM41" s="38">
        <v>0</v>
      </c>
      <c r="AN41" s="38">
        <v>2.7320047163028786E-4</v>
      </c>
      <c r="AO41" s="31">
        <v>1.5632134132277699E-3</v>
      </c>
      <c r="AP41" s="59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1">
        <v>0</v>
      </c>
      <c r="AW41" s="31">
        <v>1.4774620777106794E-3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1.1095515988267686E-3</v>
      </c>
      <c r="BD41" s="30">
        <v>0</v>
      </c>
      <c r="BE41" s="30">
        <v>0</v>
      </c>
      <c r="BF41" s="30">
        <v>0</v>
      </c>
      <c r="BG41" s="31">
        <v>0</v>
      </c>
      <c r="BH41" s="31">
        <v>0</v>
      </c>
      <c r="BI41" s="31">
        <v>0</v>
      </c>
      <c r="BJ41" s="31">
        <v>0</v>
      </c>
      <c r="BK41" s="32">
        <v>1.5632134132277699E-3</v>
      </c>
    </row>
    <row r="42" spans="1:63">
      <c r="A42" s="10">
        <v>37</v>
      </c>
      <c r="B42" s="10" t="s">
        <v>136</v>
      </c>
      <c r="C42" s="12" t="s">
        <v>224</v>
      </c>
      <c r="D42" s="38">
        <v>7.5223092951621669E-3</v>
      </c>
      <c r="E42" s="38">
        <v>4.7404598246029864E-3</v>
      </c>
      <c r="F42" s="38">
        <v>2.8268055928699085E-3</v>
      </c>
      <c r="G42" s="38">
        <v>2.8348198852243657E-3</v>
      </c>
      <c r="H42" s="38">
        <v>2.7340420399170136E-3</v>
      </c>
      <c r="I42" s="38">
        <v>8.566340294111017E-4</v>
      </c>
      <c r="J42" s="38">
        <v>1.9588517925341876E-2</v>
      </c>
      <c r="K42" s="38">
        <v>1.6274303383529388E-3</v>
      </c>
      <c r="L42" s="38">
        <v>1.1620113359851962E-2</v>
      </c>
      <c r="M42" s="38">
        <v>1.1408459251168153E-2</v>
      </c>
      <c r="N42" s="38">
        <v>4.1518266001831687E-3</v>
      </c>
      <c r="O42" s="38">
        <v>4.3680279914972064E-3</v>
      </c>
      <c r="P42" s="38">
        <v>7.6058099367549226E-3</v>
      </c>
      <c r="Q42" s="38">
        <v>5.7458729114809237E-3</v>
      </c>
      <c r="R42" s="38">
        <v>2.6534028685697192E-3</v>
      </c>
      <c r="S42" s="38">
        <v>7.1600982047247098E-4</v>
      </c>
      <c r="T42" s="38">
        <v>1.5609828964074986E-3</v>
      </c>
      <c r="U42" s="38">
        <v>1.2515814512460365E-3</v>
      </c>
      <c r="V42" s="38">
        <v>1.0475425333496095E-3</v>
      </c>
      <c r="W42" s="38">
        <v>1.8200425645737146E-3</v>
      </c>
      <c r="X42" s="38">
        <v>1.3979644370519979E-2</v>
      </c>
      <c r="Y42" s="38">
        <v>2.7585130976187436E-3</v>
      </c>
      <c r="Z42" s="38">
        <v>7.0579534048285696E-3</v>
      </c>
      <c r="AA42" s="38">
        <v>7.5937923760735276E-3</v>
      </c>
      <c r="AB42" s="38">
        <v>4.2016118534763296E-3</v>
      </c>
      <c r="AC42" s="38">
        <v>1.0207829948409847E-2</v>
      </c>
      <c r="AD42" s="38">
        <v>2.595873768091882E-3</v>
      </c>
      <c r="AE42" s="38">
        <v>1.1844794772924081E-3</v>
      </c>
      <c r="AF42" s="38">
        <v>4.3105987506982888E-3</v>
      </c>
      <c r="AG42" s="38">
        <v>2.5071206988202253E-4</v>
      </c>
      <c r="AH42" s="38">
        <v>6.4991393729652213E-3</v>
      </c>
      <c r="AI42" s="38">
        <v>3.2310981573522779E-3</v>
      </c>
      <c r="AJ42" s="38">
        <v>1.2858248183333733E-2</v>
      </c>
      <c r="AK42" s="38">
        <v>4.3407550199325079E-3</v>
      </c>
      <c r="AL42" s="38">
        <v>6.8862411827481191E-3</v>
      </c>
      <c r="AM42" s="38">
        <v>4.7317933496795285E-4</v>
      </c>
      <c r="AN42" s="38">
        <v>0</v>
      </c>
      <c r="AO42" s="31">
        <v>4.6786122790961641E-3</v>
      </c>
      <c r="AP42" s="59">
        <v>0</v>
      </c>
      <c r="AQ42" s="30">
        <v>6.0488017323768165E-6</v>
      </c>
      <c r="AR42" s="30">
        <v>0</v>
      </c>
      <c r="AS42" s="30">
        <v>0</v>
      </c>
      <c r="AT42" s="30">
        <v>0</v>
      </c>
      <c r="AU42" s="30">
        <v>0</v>
      </c>
      <c r="AV42" s="31">
        <v>2.9281554535206003E-6</v>
      </c>
      <c r="AW42" s="31">
        <v>4.4236156491115593E-3</v>
      </c>
      <c r="AX42" s="31">
        <v>1.8638914787530818E-2</v>
      </c>
      <c r="AY42" s="31">
        <v>1.8638914787530818E-2</v>
      </c>
      <c r="AZ42" s="31">
        <v>0</v>
      </c>
      <c r="BA42" s="31">
        <v>4.8471496617115426E-3</v>
      </c>
      <c r="BB42" s="31">
        <v>1.7958227240988485E-3</v>
      </c>
      <c r="BC42" s="31">
        <v>4.5290820456777101E-3</v>
      </c>
      <c r="BD42" s="30">
        <v>1.983658128530048E-2</v>
      </c>
      <c r="BE42" s="30">
        <v>2.2277227722772275E-3</v>
      </c>
      <c r="BF42" s="30">
        <v>1.9720522938128406E-2</v>
      </c>
      <c r="BG42" s="31">
        <v>1.9660833937084711E-2</v>
      </c>
      <c r="BH42" s="31">
        <v>0</v>
      </c>
      <c r="BI42" s="31">
        <v>4.1684641036955194E-3</v>
      </c>
      <c r="BJ42" s="31">
        <v>-3.8671757366907402E-6</v>
      </c>
      <c r="BK42" s="32">
        <v>4.6765277255705453E-3</v>
      </c>
    </row>
    <row r="43" spans="1:63">
      <c r="A43" s="10">
        <v>38</v>
      </c>
      <c r="B43" s="11" t="s">
        <v>137</v>
      </c>
      <c r="C43" s="13" t="s">
        <v>5</v>
      </c>
      <c r="D43" s="33">
        <v>0.51824096303678202</v>
      </c>
      <c r="E43" s="33">
        <v>0.59706091490874613</v>
      </c>
      <c r="F43" s="33">
        <v>0.67026101227674661</v>
      </c>
      <c r="G43" s="33">
        <v>0.58494088363410079</v>
      </c>
      <c r="H43" s="33">
        <v>0.60974766400231595</v>
      </c>
      <c r="I43" s="33">
        <v>0.59551093711254222</v>
      </c>
      <c r="J43" s="33">
        <v>0.53123075027719602</v>
      </c>
      <c r="K43" s="33">
        <v>0.57769199863702714</v>
      </c>
      <c r="L43" s="33">
        <v>0.54476839911993125</v>
      </c>
      <c r="M43" s="33">
        <v>0.59961162691910919</v>
      </c>
      <c r="N43" s="33">
        <v>0.81167192429022084</v>
      </c>
      <c r="O43" s="33">
        <v>0.49597622227656651</v>
      </c>
      <c r="P43" s="33">
        <v>0.51631012297084444</v>
      </c>
      <c r="Q43" s="33">
        <v>0.52631096977214642</v>
      </c>
      <c r="R43" s="33">
        <v>0.59469994837925333</v>
      </c>
      <c r="S43" s="33">
        <v>0.66636806405264737</v>
      </c>
      <c r="T43" s="33">
        <v>0.62458734782283964</v>
      </c>
      <c r="U43" s="33">
        <v>0.66778094382368314</v>
      </c>
      <c r="V43" s="33">
        <v>0.71745875833562811</v>
      </c>
      <c r="W43" s="33">
        <v>0.55508390803260954</v>
      </c>
      <c r="X43" s="33">
        <v>0.52193928513282206</v>
      </c>
      <c r="Y43" s="33">
        <v>0.47864457019671247</v>
      </c>
      <c r="Z43" s="33">
        <v>0.56457287759522423</v>
      </c>
      <c r="AA43" s="33">
        <v>0.36454221284716992</v>
      </c>
      <c r="AB43" s="33">
        <v>0.32391375747717088</v>
      </c>
      <c r="AC43" s="33">
        <v>0.37677545223013126</v>
      </c>
      <c r="AD43" s="33">
        <v>0.16282197214916583</v>
      </c>
      <c r="AE43" s="33">
        <v>0.56884947026556354</v>
      </c>
      <c r="AF43" s="33">
        <v>0.49687877710629219</v>
      </c>
      <c r="AG43" s="33">
        <v>0.27527391880419866</v>
      </c>
      <c r="AH43" s="33">
        <v>0.31894093500708709</v>
      </c>
      <c r="AI43" s="33">
        <v>0.40082829009567672</v>
      </c>
      <c r="AJ43" s="33">
        <v>0.39430631665430299</v>
      </c>
      <c r="AK43" s="33">
        <v>0.40170961798135341</v>
      </c>
      <c r="AL43" s="33">
        <v>0.48587450219943257</v>
      </c>
      <c r="AM43" s="33">
        <v>1</v>
      </c>
      <c r="AN43" s="33">
        <v>0.35372271590026827</v>
      </c>
      <c r="AO43" s="34">
        <v>0.46096229715108777</v>
      </c>
      <c r="AP43" s="60">
        <v>1</v>
      </c>
      <c r="AQ43" s="33">
        <v>1</v>
      </c>
      <c r="AR43" s="33">
        <v>1</v>
      </c>
      <c r="AS43" s="33">
        <v>1</v>
      </c>
      <c r="AT43" s="33">
        <v>1</v>
      </c>
      <c r="AU43" s="33">
        <v>1</v>
      </c>
      <c r="AV43" s="34">
        <v>1</v>
      </c>
      <c r="AW43" s="34">
        <v>1</v>
      </c>
      <c r="AX43" s="34">
        <v>1</v>
      </c>
      <c r="AY43" s="34">
        <v>1</v>
      </c>
      <c r="AZ43" s="34">
        <v>1</v>
      </c>
      <c r="BA43" s="34">
        <v>1</v>
      </c>
      <c r="BB43" s="34">
        <v>1</v>
      </c>
      <c r="BC43" s="34">
        <v>1</v>
      </c>
      <c r="BD43" s="33">
        <v>1</v>
      </c>
      <c r="BE43" s="33">
        <v>1</v>
      </c>
      <c r="BF43" s="33">
        <v>1</v>
      </c>
      <c r="BG43" s="34">
        <v>1</v>
      </c>
      <c r="BH43" s="34">
        <v>1</v>
      </c>
      <c r="BI43" s="34">
        <v>1</v>
      </c>
      <c r="BJ43" s="34">
        <v>1</v>
      </c>
      <c r="BK43" s="35">
        <v>1</v>
      </c>
    </row>
    <row r="44" spans="1:63">
      <c r="A44" s="10">
        <v>39</v>
      </c>
      <c r="B44" s="2" t="s">
        <v>138</v>
      </c>
      <c r="C44" s="14" t="s">
        <v>20</v>
      </c>
      <c r="D44" s="36">
        <v>3.1652020293531438E-3</v>
      </c>
      <c r="E44" s="36">
        <v>1.0903057596586869E-2</v>
      </c>
      <c r="F44" s="36">
        <v>5.957317571750634E-3</v>
      </c>
      <c r="G44" s="36">
        <v>8.7810274493535234E-3</v>
      </c>
      <c r="H44" s="36">
        <v>1.0333070650862832E-2</v>
      </c>
      <c r="I44" s="36">
        <v>8.7767416346681299E-3</v>
      </c>
      <c r="J44" s="36">
        <v>5.7903166194406804E-3</v>
      </c>
      <c r="K44" s="36">
        <v>1.397047231079851E-2</v>
      </c>
      <c r="L44" s="36">
        <v>1.1605542684792587E-2</v>
      </c>
      <c r="M44" s="36">
        <v>3.0948479883488077E-3</v>
      </c>
      <c r="N44" s="36">
        <v>6.4923170855805436E-3</v>
      </c>
      <c r="O44" s="36">
        <v>1.2242517729829381E-2</v>
      </c>
      <c r="P44" s="36">
        <v>1.0469093282217916E-2</v>
      </c>
      <c r="Q44" s="36">
        <v>9.6918940068764E-3</v>
      </c>
      <c r="R44" s="36">
        <v>1.1506119711888693E-2</v>
      </c>
      <c r="S44" s="36">
        <v>9.7043197668035576E-3</v>
      </c>
      <c r="T44" s="36">
        <v>1.1950108297856449E-2</v>
      </c>
      <c r="U44" s="36">
        <v>1.4437320212474623E-2</v>
      </c>
      <c r="V44" s="36">
        <v>5.8367139527555475E-3</v>
      </c>
      <c r="W44" s="36">
        <v>1.1309849163245607E-2</v>
      </c>
      <c r="X44" s="36">
        <v>1.2069929023713032E-2</v>
      </c>
      <c r="Y44" s="36">
        <v>1.2200570139982129E-2</v>
      </c>
      <c r="Z44" s="36">
        <v>8.3152834275450373E-3</v>
      </c>
      <c r="AA44" s="36">
        <v>1.7347195017829341E-2</v>
      </c>
      <c r="AB44" s="36">
        <v>1.3665152051971025E-2</v>
      </c>
      <c r="AC44" s="36">
        <v>2.482776072618037E-2</v>
      </c>
      <c r="AD44" s="36">
        <v>1.2343904025749035E-3</v>
      </c>
      <c r="AE44" s="36">
        <v>6.2233191996120029E-3</v>
      </c>
      <c r="AF44" s="36">
        <v>6.3480778020415414E-3</v>
      </c>
      <c r="AG44" s="36">
        <v>8.3385565014558755E-3</v>
      </c>
      <c r="AH44" s="36">
        <v>3.1888016699050956E-3</v>
      </c>
      <c r="AI44" s="36">
        <v>8.2983997866055842E-3</v>
      </c>
      <c r="AJ44" s="36">
        <v>3.5033142693053194E-2</v>
      </c>
      <c r="AK44" s="36">
        <v>9.0553164472518908E-3</v>
      </c>
      <c r="AL44" s="36">
        <v>1.5093443348343267E-2</v>
      </c>
      <c r="AM44" s="36">
        <v>0</v>
      </c>
      <c r="AN44" s="36">
        <v>1.9986771345584216E-3</v>
      </c>
      <c r="AO44" s="37">
        <v>9.5901566037647039E-3</v>
      </c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</row>
    <row r="45" spans="1:63">
      <c r="A45" s="10">
        <v>40</v>
      </c>
      <c r="B45" s="10" t="s">
        <v>139</v>
      </c>
      <c r="C45" s="12" t="s">
        <v>71</v>
      </c>
      <c r="D45" s="30">
        <v>0.20088274596847255</v>
      </c>
      <c r="E45" s="30">
        <v>0.26736193410760845</v>
      </c>
      <c r="F45" s="30">
        <v>0.13906686212898176</v>
      </c>
      <c r="G45" s="30">
        <v>0.28984304777708636</v>
      </c>
      <c r="H45" s="30">
        <v>0.18140368934849385</v>
      </c>
      <c r="I45" s="30">
        <v>0.10767288603010242</v>
      </c>
      <c r="J45" s="30">
        <v>8.6854749291610203E-2</v>
      </c>
      <c r="K45" s="30">
        <v>0.23211733772739523</v>
      </c>
      <c r="L45" s="30">
        <v>0.22848275560606723</v>
      </c>
      <c r="M45" s="30">
        <v>0.16542265914193821</v>
      </c>
      <c r="N45" s="30">
        <v>0.14846850513890303</v>
      </c>
      <c r="O45" s="30">
        <v>0.29799657630880944</v>
      </c>
      <c r="P45" s="30">
        <v>0.26946981422826316</v>
      </c>
      <c r="Q45" s="30">
        <v>0.27201072252145753</v>
      </c>
      <c r="R45" s="30">
        <v>0.28117868979790717</v>
      </c>
      <c r="S45" s="30">
        <v>0.26468655476759118</v>
      </c>
      <c r="T45" s="30">
        <v>0.22026290238255283</v>
      </c>
      <c r="U45" s="30">
        <v>0.17244212284509586</v>
      </c>
      <c r="V45" s="30">
        <v>0.18345053129426861</v>
      </c>
      <c r="W45" s="30">
        <v>0.28237989463523555</v>
      </c>
      <c r="X45" s="30">
        <v>0.34473530201224156</v>
      </c>
      <c r="Y45" s="30">
        <v>0.1260831950531138</v>
      </c>
      <c r="Z45" s="30">
        <v>0.11851656188916478</v>
      </c>
      <c r="AA45" s="30">
        <v>0.4540003013409673</v>
      </c>
      <c r="AB45" s="30">
        <v>0.43822018549504282</v>
      </c>
      <c r="AC45" s="30">
        <v>0.30032284660092734</v>
      </c>
      <c r="AD45" s="30">
        <v>4.2218693627320537E-2</v>
      </c>
      <c r="AE45" s="30">
        <v>0.26558911047191902</v>
      </c>
      <c r="AF45" s="30">
        <v>0.17241785587324157</v>
      </c>
      <c r="AG45" s="30">
        <v>0.34749644956799769</v>
      </c>
      <c r="AH45" s="30">
        <v>0.49119699319853977</v>
      </c>
      <c r="AI45" s="30">
        <v>0.52882823136326895</v>
      </c>
      <c r="AJ45" s="30">
        <v>0.53009962749367856</v>
      </c>
      <c r="AK45" s="30">
        <v>0.36968878603781313</v>
      </c>
      <c r="AL45" s="30">
        <v>0.31666623285353601</v>
      </c>
      <c r="AM45" s="30">
        <v>0</v>
      </c>
      <c r="AN45" s="30">
        <v>7.4195496505909762E-3</v>
      </c>
      <c r="AO45" s="31">
        <v>0.29031845925941863</v>
      </c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</row>
    <row r="46" spans="1:63">
      <c r="A46" s="10">
        <v>41</v>
      </c>
      <c r="B46" s="10" t="s">
        <v>140</v>
      </c>
      <c r="C46" s="12" t="s">
        <v>21</v>
      </c>
      <c r="D46" s="30">
        <v>0.12903435857945281</v>
      </c>
      <c r="E46" s="30">
        <v>-3.6501540649442998E-2</v>
      </c>
      <c r="F46" s="30">
        <v>9.2595404688759361E-2</v>
      </c>
      <c r="G46" s="30">
        <v>-7.6056143262117123E-3</v>
      </c>
      <c r="H46" s="30">
        <v>9.7573135624567778E-2</v>
      </c>
      <c r="I46" s="30">
        <v>5.3847714515438197E-2</v>
      </c>
      <c r="J46" s="30">
        <v>0.20980657878526549</v>
      </c>
      <c r="K46" s="30">
        <v>6.0413265591545501E-2</v>
      </c>
      <c r="L46" s="30">
        <v>7.5374102082149466E-2</v>
      </c>
      <c r="M46" s="30">
        <v>0.15716973117300806</v>
      </c>
      <c r="N46" s="30">
        <v>-4.6097486516739599E-3</v>
      </c>
      <c r="O46" s="30">
        <v>6.590793656765552E-2</v>
      </c>
      <c r="P46" s="30">
        <v>9.3203631381312116E-2</v>
      </c>
      <c r="Q46" s="30">
        <v>6.7441995987379391E-2</v>
      </c>
      <c r="R46" s="30">
        <v>6.6769264910918032E-3</v>
      </c>
      <c r="S46" s="30">
        <v>-8.4080237651615083E-2</v>
      </c>
      <c r="T46" s="30">
        <v>-9.5526178205989996E-3</v>
      </c>
      <c r="U46" s="30">
        <v>-1.3167632700451067E-2</v>
      </c>
      <c r="V46" s="30">
        <v>-1.2678387409049745E-2</v>
      </c>
      <c r="W46" s="30">
        <v>1.9229650993754871E-2</v>
      </c>
      <c r="X46" s="30">
        <v>2.5806678723394892E-2</v>
      </c>
      <c r="Y46" s="30">
        <v>-0.1788211434001333</v>
      </c>
      <c r="Z46" s="30">
        <v>0.10183316604152359</v>
      </c>
      <c r="AA46" s="30">
        <v>4.2910953744161519E-2</v>
      </c>
      <c r="AB46" s="30">
        <v>6.9911924767527764E-2</v>
      </c>
      <c r="AC46" s="30">
        <v>0.21762554692091687</v>
      </c>
      <c r="AD46" s="30">
        <v>0.37200507418654544</v>
      </c>
      <c r="AE46" s="30">
        <v>4.100059704168247E-2</v>
      </c>
      <c r="AF46" s="30">
        <v>0.1374922553450815</v>
      </c>
      <c r="AG46" s="30">
        <v>-5.6584762101221028E-3</v>
      </c>
      <c r="AH46" s="30">
        <v>1.0534135673712211E-2</v>
      </c>
      <c r="AI46" s="30">
        <v>7.9655828090242353E-3</v>
      </c>
      <c r="AJ46" s="30">
        <v>-1.5155503441894598E-2</v>
      </c>
      <c r="AK46" s="30">
        <v>6.4589146502207179E-2</v>
      </c>
      <c r="AL46" s="30">
        <v>-5.6840365444181268E-3</v>
      </c>
      <c r="AM46" s="30">
        <v>0</v>
      </c>
      <c r="AN46" s="30">
        <v>0.57177982917780956</v>
      </c>
      <c r="AO46" s="31">
        <v>6.9046868160058741E-2</v>
      </c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</row>
    <row r="47" spans="1:63">
      <c r="A47" s="10">
        <v>42</v>
      </c>
      <c r="B47" s="10" t="s">
        <v>141</v>
      </c>
      <c r="C47" s="12" t="s">
        <v>22</v>
      </c>
      <c r="D47" s="30">
        <v>0.14701202663526</v>
      </c>
      <c r="E47" s="30">
        <v>0.1090305759658687</v>
      </c>
      <c r="F47" s="30">
        <v>6.2776694039178127E-2</v>
      </c>
      <c r="G47" s="30">
        <v>0.10302150314595865</v>
      </c>
      <c r="H47" s="30">
        <v>6.1355119895784752E-2</v>
      </c>
      <c r="I47" s="30">
        <v>0.2228601056515303</v>
      </c>
      <c r="J47" s="30">
        <v>0.11987187384501663</v>
      </c>
      <c r="K47" s="30">
        <v>9.1726042445417516E-2</v>
      </c>
      <c r="L47" s="30">
        <v>0.10648249333391616</v>
      </c>
      <c r="M47" s="30">
        <v>3.9322774440196613E-2</v>
      </c>
      <c r="N47" s="30">
        <v>2.8879617380685865E-2</v>
      </c>
      <c r="O47" s="30">
        <v>8.7736789631106676E-2</v>
      </c>
      <c r="P47" s="30">
        <v>0.10449617488579327</v>
      </c>
      <c r="Q47" s="30">
        <v>0.11992241156833526</v>
      </c>
      <c r="R47" s="30">
        <v>0.15163956175433349</v>
      </c>
      <c r="S47" s="30">
        <v>0.15937742150543452</v>
      </c>
      <c r="T47" s="30">
        <v>0.1803308686234969</v>
      </c>
      <c r="U47" s="30">
        <v>0.20591796596513226</v>
      </c>
      <c r="V47" s="30">
        <v>0.10885074080277528</v>
      </c>
      <c r="W47" s="30">
        <v>0.11944247386232802</v>
      </c>
      <c r="X47" s="30">
        <v>5.1944257433148962E-2</v>
      </c>
      <c r="Y47" s="30">
        <v>0.51425349955324851</v>
      </c>
      <c r="Z47" s="30">
        <v>0.20334935812774049</v>
      </c>
      <c r="AA47" s="30">
        <v>7.8087489327507406E-2</v>
      </c>
      <c r="AB47" s="30">
        <v>9.7188782023928666E-2</v>
      </c>
      <c r="AC47" s="30">
        <v>7.5913847711095148E-2</v>
      </c>
      <c r="AD47" s="30">
        <v>0.34996079976424255</v>
      </c>
      <c r="AE47" s="30">
        <v>8.5021616750460591E-2</v>
      </c>
      <c r="AF47" s="30">
        <v>0.15748717688283986</v>
      </c>
      <c r="AG47" s="30">
        <v>0.37277076506850948</v>
      </c>
      <c r="AH47" s="30">
        <v>0.17020058003071822</v>
      </c>
      <c r="AI47" s="30">
        <v>5.6287671333445907E-2</v>
      </c>
      <c r="AJ47" s="30">
        <v>4.340855248988968E-2</v>
      </c>
      <c r="AK47" s="30">
        <v>0.10217106761410297</v>
      </c>
      <c r="AL47" s="30">
        <v>0.13918894297092585</v>
      </c>
      <c r="AM47" s="30">
        <v>0</v>
      </c>
      <c r="AN47" s="30">
        <v>3.5156587007160726E-2</v>
      </c>
      <c r="AO47" s="31">
        <v>0.14646187385223475</v>
      </c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</row>
    <row r="48" spans="1:63">
      <c r="A48" s="10">
        <v>43</v>
      </c>
      <c r="B48" s="10" t="s">
        <v>142</v>
      </c>
      <c r="C48" s="12" t="s">
        <v>23</v>
      </c>
      <c r="D48" s="30">
        <v>2.7453456242072839E-2</v>
      </c>
      <c r="E48" s="30">
        <v>5.2145058070632855E-2</v>
      </c>
      <c r="F48" s="30">
        <v>3.0823277926386245E-2</v>
      </c>
      <c r="G48" s="30">
        <v>2.101915231971237E-2</v>
      </c>
      <c r="H48" s="30">
        <v>3.9587320477974877E-2</v>
      </c>
      <c r="I48" s="30">
        <v>1.1331615055718783E-2</v>
      </c>
      <c r="J48" s="30">
        <v>4.6445731181470988E-2</v>
      </c>
      <c r="K48" s="30">
        <v>2.408088328781614E-2</v>
      </c>
      <c r="L48" s="30">
        <v>3.3286707173143332E-2</v>
      </c>
      <c r="M48" s="30">
        <v>3.5378360337399113E-2</v>
      </c>
      <c r="N48" s="30">
        <v>9.0973847562837076E-3</v>
      </c>
      <c r="O48" s="30">
        <v>4.0147482082055722E-2</v>
      </c>
      <c r="P48" s="30">
        <v>6.0545800574706753E-3</v>
      </c>
      <c r="Q48" s="30">
        <v>4.6236711316089609E-3</v>
      </c>
      <c r="R48" s="30">
        <v>-4.5696421765622511E-2</v>
      </c>
      <c r="S48" s="30">
        <v>-1.6049757909124034E-2</v>
      </c>
      <c r="T48" s="30">
        <v>-2.7578609306146838E-2</v>
      </c>
      <c r="U48" s="30">
        <v>-4.7408456888337662E-2</v>
      </c>
      <c r="V48" s="30">
        <v>-2.9126792390696461E-3</v>
      </c>
      <c r="W48" s="30">
        <v>1.2554223312826358E-2</v>
      </c>
      <c r="X48" s="30">
        <v>4.8364201197752345E-2</v>
      </c>
      <c r="Y48" s="30">
        <v>4.7837864669758472E-2</v>
      </c>
      <c r="Z48" s="30">
        <v>3.8089703629351788E-2</v>
      </c>
      <c r="AA48" s="30">
        <v>4.3111847722364524E-2</v>
      </c>
      <c r="AB48" s="30">
        <v>5.7820006534308133E-2</v>
      </c>
      <c r="AC48" s="30">
        <v>1.7158623391889245E-2</v>
      </c>
      <c r="AD48" s="30">
        <v>7.1893311812258276E-2</v>
      </c>
      <c r="AE48" s="30">
        <v>3.5571199221444839E-2</v>
      </c>
      <c r="AF48" s="30">
        <v>2.9379919760296584E-2</v>
      </c>
      <c r="AG48" s="30">
        <v>1.7787862679604256E-3</v>
      </c>
      <c r="AH48" s="30">
        <v>7.741845311975401E-3</v>
      </c>
      <c r="AI48" s="30">
        <v>9.8841747974343728E-3</v>
      </c>
      <c r="AJ48" s="30">
        <v>3.1451657932310736E-2</v>
      </c>
      <c r="AK48" s="30">
        <v>5.2814819756301229E-2</v>
      </c>
      <c r="AL48" s="30">
        <v>4.8860915172180434E-2</v>
      </c>
      <c r="AM48" s="30">
        <v>0</v>
      </c>
      <c r="AN48" s="30">
        <v>3.2884709400972018E-2</v>
      </c>
      <c r="AO48" s="31">
        <v>2.6729557422389045E-2</v>
      </c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</row>
    <row r="49" spans="1:63">
      <c r="A49" s="10">
        <v>44</v>
      </c>
      <c r="B49" s="10" t="s">
        <v>143</v>
      </c>
      <c r="C49" s="12" t="s">
        <v>24</v>
      </c>
      <c r="D49" s="30">
        <v>-2.5788752491393369E-2</v>
      </c>
      <c r="E49" s="30">
        <v>0</v>
      </c>
      <c r="F49" s="30">
        <v>-1.480568631802731E-3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-7.5245960232510017E-6</v>
      </c>
      <c r="P49" s="30">
        <v>-3.4168059015071531E-6</v>
      </c>
      <c r="Q49" s="30">
        <v>-1.6649878039643361E-6</v>
      </c>
      <c r="R49" s="30">
        <v>-4.8243688519449446E-6</v>
      </c>
      <c r="S49" s="30">
        <v>-6.364531737533076E-6</v>
      </c>
      <c r="T49" s="30">
        <v>0</v>
      </c>
      <c r="U49" s="30">
        <v>-2.2632575971899393E-6</v>
      </c>
      <c r="V49" s="30">
        <v>-5.6777373081279648E-6</v>
      </c>
      <c r="W49" s="30">
        <v>0</v>
      </c>
      <c r="X49" s="30">
        <v>-4.8596535230727936E-3</v>
      </c>
      <c r="Y49" s="30">
        <v>-1.9855621268206897E-4</v>
      </c>
      <c r="Z49" s="30">
        <v>-3.467695071054995E-2</v>
      </c>
      <c r="AA49" s="30">
        <v>0</v>
      </c>
      <c r="AB49" s="30">
        <v>-7.1980834994926862E-4</v>
      </c>
      <c r="AC49" s="30">
        <v>-1.2624077581140208E-2</v>
      </c>
      <c r="AD49" s="30">
        <v>-1.3424194210756671E-4</v>
      </c>
      <c r="AE49" s="30">
        <v>-2.2553129506824362E-3</v>
      </c>
      <c r="AF49" s="30">
        <v>-4.0627697933065864E-6</v>
      </c>
      <c r="AG49" s="30">
        <v>0</v>
      </c>
      <c r="AH49" s="30">
        <v>-1.8032908919377554E-3</v>
      </c>
      <c r="AI49" s="30">
        <v>-1.2092350185455734E-2</v>
      </c>
      <c r="AJ49" s="30">
        <v>-1.9143793821340543E-2</v>
      </c>
      <c r="AK49" s="30">
        <v>-2.8754339029759591E-5</v>
      </c>
      <c r="AL49" s="30">
        <v>0</v>
      </c>
      <c r="AM49" s="30">
        <v>0</v>
      </c>
      <c r="AN49" s="30">
        <v>-2.9620682713599631E-3</v>
      </c>
      <c r="AO49" s="31">
        <v>-3.1092124489536552E-3</v>
      </c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</row>
    <row r="50" spans="1:63">
      <c r="A50" s="10">
        <v>45</v>
      </c>
      <c r="B50" s="11" t="s">
        <v>144</v>
      </c>
      <c r="C50" s="13" t="s">
        <v>25</v>
      </c>
      <c r="D50" s="33">
        <v>0.48175903696321798</v>
      </c>
      <c r="E50" s="33">
        <v>0.40293908509125387</v>
      </c>
      <c r="F50" s="33">
        <v>0.32973898772325339</v>
      </c>
      <c r="G50" s="33">
        <v>0.41505911636589921</v>
      </c>
      <c r="H50" s="33">
        <v>0.39025233599768411</v>
      </c>
      <c r="I50" s="33">
        <v>0.40448906288745784</v>
      </c>
      <c r="J50" s="33">
        <v>0.46876924972280398</v>
      </c>
      <c r="K50" s="33">
        <v>0.42230800136297292</v>
      </c>
      <c r="L50" s="33">
        <v>0.45523160088006875</v>
      </c>
      <c r="M50" s="33">
        <v>0.40038837308089081</v>
      </c>
      <c r="N50" s="33">
        <v>0.18832807570977919</v>
      </c>
      <c r="O50" s="33">
        <v>0.50402377772343343</v>
      </c>
      <c r="P50" s="33">
        <v>0.48368987702915561</v>
      </c>
      <c r="Q50" s="33">
        <v>0.47368903022785358</v>
      </c>
      <c r="R50" s="33">
        <v>0.40530005162074673</v>
      </c>
      <c r="S50" s="33">
        <v>0.33363193594735258</v>
      </c>
      <c r="T50" s="33">
        <v>0.37541265217716036</v>
      </c>
      <c r="U50" s="33">
        <v>0.33221905617631681</v>
      </c>
      <c r="V50" s="33">
        <v>0.28254124166437189</v>
      </c>
      <c r="W50" s="33">
        <v>0.4449160919673904</v>
      </c>
      <c r="X50" s="33">
        <v>0.47806071486717799</v>
      </c>
      <c r="Y50" s="33">
        <v>0.52135542980328753</v>
      </c>
      <c r="Z50" s="33">
        <v>0.43542712240477577</v>
      </c>
      <c r="AA50" s="33">
        <v>0.63545778715283008</v>
      </c>
      <c r="AB50" s="33">
        <v>0.67608624252282912</v>
      </c>
      <c r="AC50" s="33">
        <v>0.62322454776986869</v>
      </c>
      <c r="AD50" s="33">
        <v>0.83717802785083417</v>
      </c>
      <c r="AE50" s="33">
        <v>0.43115052973443652</v>
      </c>
      <c r="AF50" s="33">
        <v>0.50312122289370775</v>
      </c>
      <c r="AG50" s="33">
        <v>0.7247260811958014</v>
      </c>
      <c r="AH50" s="33">
        <v>0.68105906499291291</v>
      </c>
      <c r="AI50" s="33">
        <v>0.59917170990432322</v>
      </c>
      <c r="AJ50" s="33">
        <v>0.60569368334569706</v>
      </c>
      <c r="AK50" s="33">
        <v>0.59829038201864659</v>
      </c>
      <c r="AL50" s="33">
        <v>0.51412549780056738</v>
      </c>
      <c r="AM50" s="33">
        <v>0</v>
      </c>
      <c r="AN50" s="33">
        <v>0.64627728409973173</v>
      </c>
      <c r="AO50" s="34">
        <v>0.53903770284891228</v>
      </c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</row>
    <row r="51" spans="1:63">
      <c r="A51" s="58">
        <v>46</v>
      </c>
      <c r="B51" s="6" t="s">
        <v>145</v>
      </c>
      <c r="C51" s="54" t="s">
        <v>208</v>
      </c>
      <c r="D51" s="60">
        <v>1</v>
      </c>
      <c r="E51" s="33">
        <v>1</v>
      </c>
      <c r="F51" s="33">
        <v>1</v>
      </c>
      <c r="G51" s="33">
        <v>1</v>
      </c>
      <c r="H51" s="33">
        <v>1</v>
      </c>
      <c r="I51" s="33">
        <v>1</v>
      </c>
      <c r="J51" s="33">
        <v>1</v>
      </c>
      <c r="K51" s="33">
        <v>1</v>
      </c>
      <c r="L51" s="33">
        <v>1</v>
      </c>
      <c r="M51" s="33">
        <v>1</v>
      </c>
      <c r="N51" s="33">
        <v>1</v>
      </c>
      <c r="O51" s="33">
        <v>1</v>
      </c>
      <c r="P51" s="33">
        <v>1</v>
      </c>
      <c r="Q51" s="33">
        <v>1</v>
      </c>
      <c r="R51" s="33">
        <v>1</v>
      </c>
      <c r="S51" s="33">
        <v>1</v>
      </c>
      <c r="T51" s="33">
        <v>1</v>
      </c>
      <c r="U51" s="33">
        <v>1</v>
      </c>
      <c r="V51" s="33">
        <v>1</v>
      </c>
      <c r="W51" s="33">
        <v>1</v>
      </c>
      <c r="X51" s="33">
        <v>1</v>
      </c>
      <c r="Y51" s="33">
        <v>1</v>
      </c>
      <c r="Z51" s="33">
        <v>1</v>
      </c>
      <c r="AA51" s="33">
        <v>1</v>
      </c>
      <c r="AB51" s="33">
        <v>1</v>
      </c>
      <c r="AC51" s="33">
        <v>1</v>
      </c>
      <c r="AD51" s="33">
        <v>1</v>
      </c>
      <c r="AE51" s="33">
        <v>1</v>
      </c>
      <c r="AF51" s="33">
        <v>1</v>
      </c>
      <c r="AG51" s="33">
        <v>1</v>
      </c>
      <c r="AH51" s="33">
        <v>1</v>
      </c>
      <c r="AI51" s="33">
        <v>1</v>
      </c>
      <c r="AJ51" s="33">
        <v>1</v>
      </c>
      <c r="AK51" s="33">
        <v>1</v>
      </c>
      <c r="AL51" s="33">
        <v>1</v>
      </c>
      <c r="AM51" s="33">
        <v>1</v>
      </c>
      <c r="AN51" s="33">
        <v>1</v>
      </c>
      <c r="AO51" s="34">
        <v>1</v>
      </c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CC2E-9D48-42E8-8B01-4E884BE0B796}">
  <dimension ref="A1:AP44"/>
  <sheetViews>
    <sheetView workbookViewId="0">
      <pane xSplit="3" ySplit="5" topLeftCell="D6" activePane="bottomRight" state="frozen"/>
      <selection activeCell="H40" sqref="H40"/>
      <selection pane="topRight" activeCell="H40" sqref="H40"/>
      <selection pane="bottomLeft" activeCell="H40" sqref="H40"/>
      <selection pane="bottomRight"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3.796875" style="1" bestFit="1" customWidth="1"/>
    <col min="4" max="40" width="10.59765625" style="1" customWidth="1"/>
    <col min="41" max="42" width="10.69921875" style="1" customWidth="1"/>
    <col min="43" max="16384" width="8.69921875" style="1"/>
  </cols>
  <sheetData>
    <row r="1" spans="1:42">
      <c r="A1" s="1" t="s">
        <v>226</v>
      </c>
    </row>
    <row r="2" spans="1:42" ht="13.2">
      <c r="A2" s="1" t="s">
        <v>31</v>
      </c>
    </row>
    <row r="3" spans="1:42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17">
        <v>9</v>
      </c>
      <c r="M3" s="17">
        <v>10</v>
      </c>
      <c r="N3" s="17">
        <v>11</v>
      </c>
      <c r="O3" s="17">
        <v>12</v>
      </c>
      <c r="P3" s="17">
        <v>13</v>
      </c>
      <c r="Q3" s="17">
        <v>14</v>
      </c>
      <c r="R3" s="17">
        <v>15</v>
      </c>
      <c r="S3" s="17">
        <v>16</v>
      </c>
      <c r="T3" s="17">
        <v>17</v>
      </c>
      <c r="U3" s="17">
        <v>18</v>
      </c>
      <c r="V3" s="17">
        <v>19</v>
      </c>
      <c r="W3" s="17">
        <v>20</v>
      </c>
      <c r="X3" s="17">
        <v>21</v>
      </c>
      <c r="Y3" s="17">
        <v>22</v>
      </c>
      <c r="Z3" s="17">
        <v>23</v>
      </c>
      <c r="AA3" s="17">
        <v>24</v>
      </c>
      <c r="AB3" s="17">
        <v>25</v>
      </c>
      <c r="AC3" s="17">
        <v>26</v>
      </c>
      <c r="AD3" s="17">
        <v>27</v>
      </c>
      <c r="AE3" s="17">
        <v>28</v>
      </c>
      <c r="AF3" s="17">
        <v>29</v>
      </c>
      <c r="AG3" s="17">
        <v>30</v>
      </c>
      <c r="AH3" s="17">
        <v>31</v>
      </c>
      <c r="AI3" s="17">
        <v>32</v>
      </c>
      <c r="AJ3" s="17">
        <v>33</v>
      </c>
      <c r="AK3" s="17">
        <v>34</v>
      </c>
      <c r="AL3" s="17">
        <v>35</v>
      </c>
      <c r="AM3" s="17">
        <v>36</v>
      </c>
      <c r="AN3" s="17">
        <v>37</v>
      </c>
      <c r="AO3" s="2"/>
      <c r="AP3" s="5"/>
    </row>
    <row r="4" spans="1:42">
      <c r="A4" s="10"/>
      <c r="B4" s="16"/>
      <c r="C4" s="18"/>
      <c r="D4" s="4" t="s">
        <v>75</v>
      </c>
      <c r="E4" s="4" t="s">
        <v>77</v>
      </c>
      <c r="F4" s="4" t="s">
        <v>79</v>
      </c>
      <c r="G4" s="4" t="s">
        <v>81</v>
      </c>
      <c r="H4" s="4" t="s">
        <v>83</v>
      </c>
      <c r="I4" s="4" t="s">
        <v>85</v>
      </c>
      <c r="J4" s="4" t="s">
        <v>87</v>
      </c>
      <c r="K4" s="4" t="s">
        <v>89</v>
      </c>
      <c r="L4" s="4" t="s">
        <v>91</v>
      </c>
      <c r="M4" s="4" t="s">
        <v>93</v>
      </c>
      <c r="N4" s="4" t="s">
        <v>95</v>
      </c>
      <c r="O4" s="4" t="s">
        <v>97</v>
      </c>
      <c r="P4" s="4" t="s">
        <v>99</v>
      </c>
      <c r="Q4" s="4" t="s">
        <v>100</v>
      </c>
      <c r="R4" s="4" t="s">
        <v>101</v>
      </c>
      <c r="S4" s="4" t="s">
        <v>102</v>
      </c>
      <c r="T4" s="4" t="s">
        <v>104</v>
      </c>
      <c r="U4" s="4" t="s">
        <v>106</v>
      </c>
      <c r="V4" s="4" t="s">
        <v>108</v>
      </c>
      <c r="W4" s="4" t="s">
        <v>110</v>
      </c>
      <c r="X4" s="4" t="s">
        <v>111</v>
      </c>
      <c r="Y4" s="4" t="s">
        <v>113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121</v>
      </c>
      <c r="AF4" s="4" t="s">
        <v>123</v>
      </c>
      <c r="AG4" s="4" t="s">
        <v>125</v>
      </c>
      <c r="AH4" s="4" t="s">
        <v>126</v>
      </c>
      <c r="AI4" s="4" t="s">
        <v>128</v>
      </c>
      <c r="AJ4" s="4" t="s">
        <v>130</v>
      </c>
      <c r="AK4" s="4" t="s">
        <v>131</v>
      </c>
      <c r="AL4" s="4" t="s">
        <v>133</v>
      </c>
      <c r="AM4" s="4" t="s">
        <v>135</v>
      </c>
      <c r="AN4" s="4" t="s">
        <v>136</v>
      </c>
      <c r="AO4" s="10"/>
      <c r="AP4" s="19"/>
    </row>
    <row r="5" spans="1:42" ht="48" customHeight="1">
      <c r="A5" s="6"/>
      <c r="B5" s="15"/>
      <c r="C5" s="69" t="s">
        <v>225</v>
      </c>
      <c r="D5" s="7" t="s">
        <v>76</v>
      </c>
      <c r="E5" s="7" t="s">
        <v>78</v>
      </c>
      <c r="F5" s="7" t="s">
        <v>80</v>
      </c>
      <c r="G5" s="7" t="s">
        <v>82</v>
      </c>
      <c r="H5" s="7" t="s">
        <v>84</v>
      </c>
      <c r="I5" s="7" t="s">
        <v>86</v>
      </c>
      <c r="J5" s="7" t="s">
        <v>88</v>
      </c>
      <c r="K5" s="7" t="s">
        <v>90</v>
      </c>
      <c r="L5" s="7" t="s">
        <v>92</v>
      </c>
      <c r="M5" s="7" t="s">
        <v>94</v>
      </c>
      <c r="N5" s="7" t="s">
        <v>96</v>
      </c>
      <c r="O5" s="7" t="s">
        <v>98</v>
      </c>
      <c r="P5" s="7" t="s">
        <v>72</v>
      </c>
      <c r="Q5" s="7" t="s">
        <v>73</v>
      </c>
      <c r="R5" s="7" t="s">
        <v>74</v>
      </c>
      <c r="S5" s="7" t="s">
        <v>103</v>
      </c>
      <c r="T5" s="7" t="s">
        <v>105</v>
      </c>
      <c r="U5" s="7" t="s">
        <v>107</v>
      </c>
      <c r="V5" s="7" t="s">
        <v>109</v>
      </c>
      <c r="W5" s="7" t="s">
        <v>66</v>
      </c>
      <c r="X5" s="7" t="s">
        <v>112</v>
      </c>
      <c r="Y5" s="7" t="s">
        <v>114</v>
      </c>
      <c r="Z5" s="7" t="s">
        <v>0</v>
      </c>
      <c r="AA5" s="7" t="s">
        <v>1</v>
      </c>
      <c r="AB5" s="7" t="s">
        <v>67</v>
      </c>
      <c r="AC5" s="7" t="s">
        <v>68</v>
      </c>
      <c r="AD5" s="7" t="s">
        <v>120</v>
      </c>
      <c r="AE5" s="7" t="s">
        <v>122</v>
      </c>
      <c r="AF5" s="7" t="s">
        <v>124</v>
      </c>
      <c r="AG5" s="7" t="s">
        <v>69</v>
      </c>
      <c r="AH5" s="7" t="s">
        <v>127</v>
      </c>
      <c r="AI5" s="7" t="s">
        <v>129</v>
      </c>
      <c r="AJ5" s="7" t="s">
        <v>2</v>
      </c>
      <c r="AK5" s="7" t="s">
        <v>132</v>
      </c>
      <c r="AL5" s="7" t="s">
        <v>134</v>
      </c>
      <c r="AM5" s="7" t="s">
        <v>3</v>
      </c>
      <c r="AN5" s="7" t="s">
        <v>4</v>
      </c>
      <c r="AO5" s="53" t="s">
        <v>29</v>
      </c>
      <c r="AP5" s="8" t="s">
        <v>30</v>
      </c>
    </row>
    <row r="6" spans="1:42">
      <c r="A6" s="10">
        <v>1</v>
      </c>
      <c r="B6" s="10" t="s">
        <v>75</v>
      </c>
      <c r="C6" s="12" t="s">
        <v>179</v>
      </c>
      <c r="D6" s="38">
        <v>1.1411765850994644</v>
      </c>
      <c r="E6" s="38">
        <v>6.7810751374132287E-4</v>
      </c>
      <c r="F6" s="38">
        <v>0.22424797875437597</v>
      </c>
      <c r="G6" s="38">
        <v>1.8266378379485516E-2</v>
      </c>
      <c r="H6" s="38">
        <v>4.146616941443107E-2</v>
      </c>
      <c r="I6" s="38">
        <v>9.278165858860524E-3</v>
      </c>
      <c r="J6" s="38">
        <v>8.9384325205671389E-4</v>
      </c>
      <c r="K6" s="38">
        <v>3.5697174397869374E-3</v>
      </c>
      <c r="L6" s="38">
        <v>2.3165913749879606E-3</v>
      </c>
      <c r="M6" s="38">
        <v>6.164526956108843E-4</v>
      </c>
      <c r="N6" s="38">
        <v>2.3419441475116755E-3</v>
      </c>
      <c r="O6" s="38">
        <v>7.1047812671724787E-4</v>
      </c>
      <c r="P6" s="38">
        <v>7.1483803899850601E-4</v>
      </c>
      <c r="Q6" s="38">
        <v>6.742274772427552E-4</v>
      </c>
      <c r="R6" s="38">
        <v>1.2423890171639593E-3</v>
      </c>
      <c r="S6" s="38">
        <v>1.4469570042812132E-3</v>
      </c>
      <c r="T6" s="38">
        <v>1.34759956923969E-3</v>
      </c>
      <c r="U6" s="38">
        <v>1.4663148903614181E-3</v>
      </c>
      <c r="V6" s="38">
        <v>1.127412152351041E-3</v>
      </c>
      <c r="W6" s="38">
        <v>1.0871276026650089E-2</v>
      </c>
      <c r="X6" s="38">
        <v>3.7517658365629585E-3</v>
      </c>
      <c r="Y6" s="38">
        <v>5.5785855648630934E-4</v>
      </c>
      <c r="Z6" s="38">
        <v>1.1857403870276886E-3</v>
      </c>
      <c r="AA6" s="38">
        <v>8.7273069460702582E-4</v>
      </c>
      <c r="AB6" s="38">
        <v>1.0509322363659219E-3</v>
      </c>
      <c r="AC6" s="38">
        <v>8.6095956509749702E-4</v>
      </c>
      <c r="AD6" s="38">
        <v>2.237847701879205E-4</v>
      </c>
      <c r="AE6" s="38">
        <v>8.0898910267803901E-4</v>
      </c>
      <c r="AF6" s="38">
        <v>1.8569590363196312E-3</v>
      </c>
      <c r="AG6" s="38">
        <v>7.5326499652559893E-4</v>
      </c>
      <c r="AH6" s="38">
        <v>4.892474785053621E-3</v>
      </c>
      <c r="AI6" s="38">
        <v>7.4582784656590058E-3</v>
      </c>
      <c r="AJ6" s="38">
        <v>5.0013233689221578E-3</v>
      </c>
      <c r="AK6" s="38">
        <v>9.4904384057091843E-4</v>
      </c>
      <c r="AL6" s="38">
        <v>4.5695971398697029E-2</v>
      </c>
      <c r="AM6" s="38">
        <v>2.0340362914852982E-2</v>
      </c>
      <c r="AN6" s="38">
        <v>1.4805462237315078E-3</v>
      </c>
      <c r="AO6" s="62">
        <v>1.5621944124126643</v>
      </c>
      <c r="AP6" s="63">
        <v>0.73996713522299828</v>
      </c>
    </row>
    <row r="7" spans="1:42">
      <c r="A7" s="10">
        <v>2</v>
      </c>
      <c r="B7" s="10" t="s">
        <v>77</v>
      </c>
      <c r="C7" s="12" t="s">
        <v>180</v>
      </c>
      <c r="D7" s="38">
        <v>4.4981519048729402E-3</v>
      </c>
      <c r="E7" s="38">
        <v>1.007272578539413</v>
      </c>
      <c r="F7" s="38">
        <v>4.3611984832628839E-3</v>
      </c>
      <c r="G7" s="38">
        <v>4.1757893485592909E-3</v>
      </c>
      <c r="H7" s="38">
        <v>5.6639587735611754E-3</v>
      </c>
      <c r="I7" s="38">
        <v>9.1175617680653732E-3</v>
      </c>
      <c r="J7" s="38">
        <v>6.8194514100741482E-2</v>
      </c>
      <c r="K7" s="38">
        <v>4.8922908637411408E-3</v>
      </c>
      <c r="L7" s="38">
        <v>3.6896194936519057E-2</v>
      </c>
      <c r="M7" s="38">
        <v>8.4417820322722995E-3</v>
      </c>
      <c r="N7" s="38">
        <v>6.032326967759697E-2</v>
      </c>
      <c r="O7" s="38">
        <v>6.9552289631263763E-3</v>
      </c>
      <c r="P7" s="38">
        <v>5.8519781402192805E-3</v>
      </c>
      <c r="Q7" s="38">
        <v>4.8190268196933042E-3</v>
      </c>
      <c r="R7" s="38">
        <v>8.5585027446475684E-3</v>
      </c>
      <c r="S7" s="38">
        <v>1.1637790026798401E-2</v>
      </c>
      <c r="T7" s="38">
        <v>8.6392291812978569E-3</v>
      </c>
      <c r="U7" s="38">
        <v>8.2768090964953963E-3</v>
      </c>
      <c r="V7" s="38">
        <v>8.3304403592217649E-3</v>
      </c>
      <c r="W7" s="38">
        <v>5.8348443366652786E-3</v>
      </c>
      <c r="X7" s="38">
        <v>8.0768954913598718E-3</v>
      </c>
      <c r="Y7" s="38">
        <v>5.1257399278069493E-2</v>
      </c>
      <c r="Z7" s="38">
        <v>5.972711057872197E-3</v>
      </c>
      <c r="AA7" s="38">
        <v>5.9973573874494155E-3</v>
      </c>
      <c r="AB7" s="38">
        <v>2.6770904077429475E-3</v>
      </c>
      <c r="AC7" s="38">
        <v>1.4450682177736521E-3</v>
      </c>
      <c r="AD7" s="38">
        <v>5.4202787504994813E-4</v>
      </c>
      <c r="AE7" s="38">
        <v>1.1095324976882369E-2</v>
      </c>
      <c r="AF7" s="38">
        <v>1.8337200820554387E-3</v>
      </c>
      <c r="AG7" s="38">
        <v>2.221089959407418E-3</v>
      </c>
      <c r="AH7" s="38">
        <v>2.3379565066245296E-3</v>
      </c>
      <c r="AI7" s="38">
        <v>3.1377580875389189E-3</v>
      </c>
      <c r="AJ7" s="38">
        <v>2.0161435822720615E-3</v>
      </c>
      <c r="AK7" s="38">
        <v>2.00350453785477E-3</v>
      </c>
      <c r="AL7" s="38">
        <v>3.9551794094330782E-3</v>
      </c>
      <c r="AM7" s="38">
        <v>5.7521028075600573E-3</v>
      </c>
      <c r="AN7" s="38">
        <v>2.5194721254951469E-3</v>
      </c>
      <c r="AO7" s="64">
        <v>1.3955819418872117</v>
      </c>
      <c r="AP7" s="65">
        <v>0.66104753883503087</v>
      </c>
    </row>
    <row r="8" spans="1:42">
      <c r="A8" s="10">
        <v>3</v>
      </c>
      <c r="B8" s="10" t="s">
        <v>79</v>
      </c>
      <c r="C8" s="12" t="s">
        <v>181</v>
      </c>
      <c r="D8" s="38">
        <v>6.4325876134167445E-2</v>
      </c>
      <c r="E8" s="38">
        <v>6.4987862885659798E-4</v>
      </c>
      <c r="F8" s="38">
        <v>1.3070331980953356</v>
      </c>
      <c r="G8" s="38">
        <v>9.3972366689948662E-3</v>
      </c>
      <c r="H8" s="38">
        <v>5.5491628014230771E-3</v>
      </c>
      <c r="I8" s="38">
        <v>2.1909073300928176E-2</v>
      </c>
      <c r="J8" s="38">
        <v>1.5448231851594068E-3</v>
      </c>
      <c r="K8" s="38">
        <v>5.0043624100696172E-3</v>
      </c>
      <c r="L8" s="38">
        <v>2.8425271333753646E-3</v>
      </c>
      <c r="M8" s="38">
        <v>5.9597456270363541E-4</v>
      </c>
      <c r="N8" s="38">
        <v>1.672994867177033E-3</v>
      </c>
      <c r="O8" s="38">
        <v>7.028064359274397E-4</v>
      </c>
      <c r="P8" s="38">
        <v>7.0115892856978835E-4</v>
      </c>
      <c r="Q8" s="38">
        <v>6.7356074146213509E-4</v>
      </c>
      <c r="R8" s="38">
        <v>1.1405486427466275E-3</v>
      </c>
      <c r="S8" s="38">
        <v>1.2751050126931307E-3</v>
      </c>
      <c r="T8" s="38">
        <v>1.136493118760677E-3</v>
      </c>
      <c r="U8" s="38">
        <v>1.3182132776036371E-3</v>
      </c>
      <c r="V8" s="38">
        <v>1.306304697934706E-3</v>
      </c>
      <c r="W8" s="38">
        <v>4.2482472789166304E-3</v>
      </c>
      <c r="X8" s="38">
        <v>1.1895786749895228E-3</v>
      </c>
      <c r="Y8" s="38">
        <v>4.8423040008231498E-4</v>
      </c>
      <c r="Z8" s="38">
        <v>1.116850945931179E-3</v>
      </c>
      <c r="AA8" s="38">
        <v>8.4842205562432702E-4</v>
      </c>
      <c r="AB8" s="38">
        <v>7.5070952263395197E-4</v>
      </c>
      <c r="AC8" s="38">
        <v>6.0785928435080861E-4</v>
      </c>
      <c r="AD8" s="38">
        <v>2.2582680236411063E-4</v>
      </c>
      <c r="AE8" s="38">
        <v>7.3650358917183763E-4</v>
      </c>
      <c r="AF8" s="38">
        <v>2.3746395200239475E-3</v>
      </c>
      <c r="AG8" s="38">
        <v>1.3795618607207307E-3</v>
      </c>
      <c r="AH8" s="38">
        <v>1.0970133170680626E-2</v>
      </c>
      <c r="AI8" s="38">
        <v>1.7593161052996454E-2</v>
      </c>
      <c r="AJ8" s="38">
        <v>3.5479087165078802E-3</v>
      </c>
      <c r="AK8" s="38">
        <v>1.0094005566856673E-3</v>
      </c>
      <c r="AL8" s="38">
        <v>0.1434308530776526</v>
      </c>
      <c r="AM8" s="38">
        <v>3.8834651043838102E-3</v>
      </c>
      <c r="AN8" s="38">
        <v>6.0755837479942306E-3</v>
      </c>
      <c r="AO8" s="64">
        <v>1.6292522340055993</v>
      </c>
      <c r="AP8" s="65">
        <v>0.77173052122934338</v>
      </c>
    </row>
    <row r="9" spans="1:42">
      <c r="A9" s="10">
        <v>4</v>
      </c>
      <c r="B9" s="10" t="s">
        <v>81</v>
      </c>
      <c r="C9" s="12" t="s">
        <v>82</v>
      </c>
      <c r="D9" s="38">
        <v>5.9461317836084788E-3</v>
      </c>
      <c r="E9" s="38">
        <v>5.5930903579567252E-3</v>
      </c>
      <c r="F9" s="38">
        <v>4.4451980508715544E-3</v>
      </c>
      <c r="G9" s="38">
        <v>1.2597578106454188</v>
      </c>
      <c r="H9" s="38">
        <v>6.0569400018728554E-3</v>
      </c>
      <c r="I9" s="38">
        <v>5.0389917788850923E-3</v>
      </c>
      <c r="J9" s="38">
        <v>2.6119420775144882E-3</v>
      </c>
      <c r="K9" s="38">
        <v>4.8919234793261554E-3</v>
      </c>
      <c r="L9" s="38">
        <v>6.2804763914746905E-3</v>
      </c>
      <c r="M9" s="38">
        <v>3.3096104437975592E-3</v>
      </c>
      <c r="N9" s="38">
        <v>9.4208500462337474E-3</v>
      </c>
      <c r="O9" s="38">
        <v>3.6453239426364791E-3</v>
      </c>
      <c r="P9" s="38">
        <v>4.1678278672099391E-3</v>
      </c>
      <c r="Q9" s="38">
        <v>4.1703080689175628E-3</v>
      </c>
      <c r="R9" s="38">
        <v>5.5541485995887789E-3</v>
      </c>
      <c r="S9" s="38">
        <v>1.024098374938899E-2</v>
      </c>
      <c r="T9" s="38">
        <v>7.8120288752964303E-3</v>
      </c>
      <c r="U9" s="38">
        <v>6.6872232348123258E-3</v>
      </c>
      <c r="V9" s="38">
        <v>5.050509647649924E-3</v>
      </c>
      <c r="W9" s="38">
        <v>1.2466936865801942E-2</v>
      </c>
      <c r="X9" s="38">
        <v>6.7812667428949142E-3</v>
      </c>
      <c r="Y9" s="38">
        <v>2.3475070192813473E-3</v>
      </c>
      <c r="Z9" s="38">
        <v>3.9175503120591698E-3</v>
      </c>
      <c r="AA9" s="38">
        <v>5.0144475354109317E-3</v>
      </c>
      <c r="AB9" s="38">
        <v>6.760899076588508E-3</v>
      </c>
      <c r="AC9" s="38">
        <v>3.4625374244927746E-3</v>
      </c>
      <c r="AD9" s="38">
        <v>5.8363655348076362E-4</v>
      </c>
      <c r="AE9" s="38">
        <v>3.6267316171142076E-3</v>
      </c>
      <c r="AF9" s="38">
        <v>3.0223536575827181E-3</v>
      </c>
      <c r="AG9" s="38">
        <v>6.9308696532285633E-3</v>
      </c>
      <c r="AH9" s="38">
        <v>2.2674617206326049E-3</v>
      </c>
      <c r="AI9" s="38">
        <v>6.7791687895334607E-3</v>
      </c>
      <c r="AJ9" s="38">
        <v>3.0838249345904175E-2</v>
      </c>
      <c r="AK9" s="38">
        <v>4.2679386020149455E-3</v>
      </c>
      <c r="AL9" s="38">
        <v>8.0116596775831762E-3</v>
      </c>
      <c r="AM9" s="38">
        <v>3.214787904682289E-2</v>
      </c>
      <c r="AN9" s="38">
        <v>1.9525004289310415E-3</v>
      </c>
      <c r="AO9" s="64">
        <v>1.501860913111819</v>
      </c>
      <c r="AP9" s="65">
        <v>0.71138886975175286</v>
      </c>
    </row>
    <row r="10" spans="1:42">
      <c r="A10" s="10">
        <v>5</v>
      </c>
      <c r="B10" s="10" t="s">
        <v>83</v>
      </c>
      <c r="C10" s="12" t="s">
        <v>84</v>
      </c>
      <c r="D10" s="38">
        <v>9.5307110285712732E-2</v>
      </c>
      <c r="E10" s="38">
        <v>1.0805824662217195E-2</v>
      </c>
      <c r="F10" s="38">
        <v>5.9742533410661249E-2</v>
      </c>
      <c r="G10" s="38">
        <v>2.6524289343284522E-2</v>
      </c>
      <c r="H10" s="38">
        <v>1.4366309048254411</v>
      </c>
      <c r="I10" s="38">
        <v>5.9171031710654867E-2</v>
      </c>
      <c r="J10" s="38">
        <v>1.0351022269574685E-2</v>
      </c>
      <c r="K10" s="38">
        <v>2.7549389367503424E-2</v>
      </c>
      <c r="L10" s="38">
        <v>3.257436466970829E-2</v>
      </c>
      <c r="M10" s="38">
        <v>9.6561020662093728E-3</v>
      </c>
      <c r="N10" s="38">
        <v>3.0957137292709287E-2</v>
      </c>
      <c r="O10" s="38">
        <v>1.2000439476162328E-2</v>
      </c>
      <c r="P10" s="38">
        <v>1.1453866833563397E-2</v>
      </c>
      <c r="Q10" s="38">
        <v>1.0335584893739983E-2</v>
      </c>
      <c r="R10" s="38">
        <v>2.0452630825170431E-2</v>
      </c>
      <c r="S10" s="38">
        <v>2.5425179075383764E-2</v>
      </c>
      <c r="T10" s="38">
        <v>2.4274358292345595E-2</v>
      </c>
      <c r="U10" s="38">
        <v>2.5994491485307421E-2</v>
      </c>
      <c r="V10" s="38">
        <v>1.5341080488998581E-2</v>
      </c>
      <c r="W10" s="38">
        <v>9.5781654383970613E-2</v>
      </c>
      <c r="X10" s="38">
        <v>7.2543111206579108E-2</v>
      </c>
      <c r="Y10" s="38">
        <v>9.4980452012905243E-3</v>
      </c>
      <c r="Z10" s="38">
        <v>1.9477300040834686E-2</v>
      </c>
      <c r="AA10" s="38">
        <v>1.5306210306688361E-2</v>
      </c>
      <c r="AB10" s="38">
        <v>1.777719632113724E-2</v>
      </c>
      <c r="AC10" s="38">
        <v>1.6631675881216213E-2</v>
      </c>
      <c r="AD10" s="38">
        <v>3.7396796261133639E-3</v>
      </c>
      <c r="AE10" s="38">
        <v>1.5268139363659077E-2</v>
      </c>
      <c r="AF10" s="38">
        <v>3.0003078654891997E-2</v>
      </c>
      <c r="AG10" s="38">
        <v>9.4014583220435825E-3</v>
      </c>
      <c r="AH10" s="38">
        <v>2.1286595719705512E-2</v>
      </c>
      <c r="AI10" s="38">
        <v>2.4839926287443852E-2</v>
      </c>
      <c r="AJ10" s="38">
        <v>4.0327465187918458E-2</v>
      </c>
      <c r="AK10" s="38">
        <v>1.5790664052838774E-2</v>
      </c>
      <c r="AL10" s="38">
        <v>2.2805038540959607E-2</v>
      </c>
      <c r="AM10" s="38">
        <v>0.642539106601833</v>
      </c>
      <c r="AN10" s="38">
        <v>7.6366424421195518E-3</v>
      </c>
      <c r="AO10" s="64">
        <v>3.025200329415592</v>
      </c>
      <c r="AP10" s="65">
        <v>1.4329514965913208</v>
      </c>
    </row>
    <row r="11" spans="1:42">
      <c r="A11" s="10">
        <v>6</v>
      </c>
      <c r="B11" s="10" t="s">
        <v>85</v>
      </c>
      <c r="C11" s="12" t="s">
        <v>86</v>
      </c>
      <c r="D11" s="38">
        <v>8.8571923879366285E-2</v>
      </c>
      <c r="E11" s="38">
        <v>1.761555049309773E-2</v>
      </c>
      <c r="F11" s="38">
        <v>5.7136223110664415E-2</v>
      </c>
      <c r="G11" s="38">
        <v>0.18447502847192881</v>
      </c>
      <c r="H11" s="38">
        <v>6.3156513427507402E-2</v>
      </c>
      <c r="I11" s="38">
        <v>1.3347855407108298</v>
      </c>
      <c r="J11" s="38">
        <v>7.3322682005575346E-2</v>
      </c>
      <c r="K11" s="38">
        <v>0.28511586396311533</v>
      </c>
      <c r="L11" s="38">
        <v>0.10992282069857255</v>
      </c>
      <c r="M11" s="38">
        <v>1.5457231991342401E-2</v>
      </c>
      <c r="N11" s="38">
        <v>5.7829390752071032E-2</v>
      </c>
      <c r="O11" s="38">
        <v>2.5101362492789363E-2</v>
      </c>
      <c r="P11" s="38">
        <v>2.1810281874923659E-2</v>
      </c>
      <c r="Q11" s="38">
        <v>2.2590665088060291E-2</v>
      </c>
      <c r="R11" s="38">
        <v>4.4960752111980515E-2</v>
      </c>
      <c r="S11" s="38">
        <v>4.7300872421085362E-2</v>
      </c>
      <c r="T11" s="38">
        <v>4.2914161603682013E-2</v>
      </c>
      <c r="U11" s="38">
        <v>5.1199737268097276E-2</v>
      </c>
      <c r="V11" s="38">
        <v>5.9550964550803352E-2</v>
      </c>
      <c r="W11" s="38">
        <v>7.1364358530170299E-2</v>
      </c>
      <c r="X11" s="38">
        <v>2.8228264346218241E-2</v>
      </c>
      <c r="Y11" s="38">
        <v>8.5039257970397093E-3</v>
      </c>
      <c r="Z11" s="38">
        <v>3.4995038503935323E-2</v>
      </c>
      <c r="AA11" s="38">
        <v>3.3430551442925949E-2</v>
      </c>
      <c r="AB11" s="38">
        <v>7.9437179237389147E-3</v>
      </c>
      <c r="AC11" s="38">
        <v>7.5377052313248148E-3</v>
      </c>
      <c r="AD11" s="38">
        <v>1.9057007685012817E-3</v>
      </c>
      <c r="AE11" s="38">
        <v>1.9476846919850837E-2</v>
      </c>
      <c r="AF11" s="38">
        <v>1.1397633964017179E-2</v>
      </c>
      <c r="AG11" s="38">
        <v>8.9716562888839859E-3</v>
      </c>
      <c r="AH11" s="38">
        <v>2.2572768010236516E-2</v>
      </c>
      <c r="AI11" s="38">
        <v>0.20045593908966416</v>
      </c>
      <c r="AJ11" s="38">
        <v>1.8418362936634104E-2</v>
      </c>
      <c r="AK11" s="38">
        <v>1.8719861024600614E-2</v>
      </c>
      <c r="AL11" s="38">
        <v>2.7100539588245619E-2</v>
      </c>
      <c r="AM11" s="38">
        <v>7.2152253322689139E-2</v>
      </c>
      <c r="AN11" s="38">
        <v>1.141305452452345E-2</v>
      </c>
      <c r="AO11" s="64">
        <v>3.207405745128693</v>
      </c>
      <c r="AP11" s="65">
        <v>1.5192570283587226</v>
      </c>
    </row>
    <row r="12" spans="1:42">
      <c r="A12" s="10">
        <v>7</v>
      </c>
      <c r="B12" s="10" t="s">
        <v>87</v>
      </c>
      <c r="C12" s="12" t="s">
        <v>88</v>
      </c>
      <c r="D12" s="38">
        <v>4.7694718865641805E-2</v>
      </c>
      <c r="E12" s="38">
        <v>0.11091263336264925</v>
      </c>
      <c r="F12" s="38">
        <v>3.2320839405383169E-2</v>
      </c>
      <c r="G12" s="38">
        <v>2.3971604740810237E-2</v>
      </c>
      <c r="H12" s="38">
        <v>2.8213970313706132E-2</v>
      </c>
      <c r="I12" s="38">
        <v>2.5978414513901951E-2</v>
      </c>
      <c r="J12" s="38">
        <v>1.3417885383155912</v>
      </c>
      <c r="K12" s="38">
        <v>1.630054121902931E-2</v>
      </c>
      <c r="L12" s="38">
        <v>7.3556541421540167E-2</v>
      </c>
      <c r="M12" s="38">
        <v>4.4223144484074432E-2</v>
      </c>
      <c r="N12" s="38">
        <v>5.0460588634165929E-2</v>
      </c>
      <c r="O12" s="38">
        <v>2.9015534587112833E-2</v>
      </c>
      <c r="P12" s="38">
        <v>1.9671468206827698E-2</v>
      </c>
      <c r="Q12" s="38">
        <v>1.8068463963556082E-2</v>
      </c>
      <c r="R12" s="38">
        <v>2.3427931685681132E-2</v>
      </c>
      <c r="S12" s="38">
        <v>2.3405098492669515E-2</v>
      </c>
      <c r="T12" s="38">
        <v>2.0705914242928274E-2</v>
      </c>
      <c r="U12" s="38">
        <v>2.0028179784093825E-2</v>
      </c>
      <c r="V12" s="38">
        <v>2.6070892045891567E-2</v>
      </c>
      <c r="W12" s="38">
        <v>3.2854988664415295E-2</v>
      </c>
      <c r="X12" s="38">
        <v>4.0841781602638814E-2</v>
      </c>
      <c r="Y12" s="38">
        <v>2.1253592146458614E-2</v>
      </c>
      <c r="Z12" s="38">
        <v>3.3570340231853464E-2</v>
      </c>
      <c r="AA12" s="38">
        <v>3.9022610820146908E-2</v>
      </c>
      <c r="AB12" s="38">
        <v>1.8767163501686723E-2</v>
      </c>
      <c r="AC12" s="38">
        <v>1.3414338431531359E-2</v>
      </c>
      <c r="AD12" s="38">
        <v>3.2692943466306468E-3</v>
      </c>
      <c r="AE12" s="38">
        <v>0.19621519926506323</v>
      </c>
      <c r="AF12" s="38">
        <v>1.3921117935932658E-2</v>
      </c>
      <c r="AG12" s="38">
        <v>2.1952288881928062E-2</v>
      </c>
      <c r="AH12" s="38">
        <v>1.667302601488161E-2</v>
      </c>
      <c r="AI12" s="38">
        <v>1.5541335817061316E-2</v>
      </c>
      <c r="AJ12" s="38">
        <v>1.9998956369976291E-2</v>
      </c>
      <c r="AK12" s="38">
        <v>1.2896700417052841E-2</v>
      </c>
      <c r="AL12" s="38">
        <v>2.7392195654952413E-2</v>
      </c>
      <c r="AM12" s="38">
        <v>3.6242245734316961E-2</v>
      </c>
      <c r="AN12" s="38">
        <v>2.9240696282236422E-2</v>
      </c>
      <c r="AO12" s="64">
        <v>2.5688828904040188</v>
      </c>
      <c r="AP12" s="65">
        <v>1.2168068826977114</v>
      </c>
    </row>
    <row r="13" spans="1:42">
      <c r="A13" s="10">
        <v>8</v>
      </c>
      <c r="B13" s="10" t="s">
        <v>89</v>
      </c>
      <c r="C13" s="12" t="s">
        <v>182</v>
      </c>
      <c r="D13" s="38">
        <v>3.8481508731170025E-2</v>
      </c>
      <c r="E13" s="38">
        <v>1.5768382689686417E-2</v>
      </c>
      <c r="F13" s="38">
        <v>6.7912957375018887E-2</v>
      </c>
      <c r="G13" s="38">
        <v>3.8762060875451337E-2</v>
      </c>
      <c r="H13" s="38">
        <v>4.1258078159239063E-2</v>
      </c>
      <c r="I13" s="38">
        <v>9.9245057346302165E-2</v>
      </c>
      <c r="J13" s="38">
        <v>1.2310062541605783E-2</v>
      </c>
      <c r="K13" s="38">
        <v>1.3058139888803959</v>
      </c>
      <c r="L13" s="38">
        <v>2.0711711800117792E-2</v>
      </c>
      <c r="M13" s="38">
        <v>7.9447401389082586E-3</v>
      </c>
      <c r="N13" s="38">
        <v>4.0183939073979172E-2</v>
      </c>
      <c r="O13" s="38">
        <v>1.2468606802213525E-2</v>
      </c>
      <c r="P13" s="38">
        <v>2.8043169613089433E-2</v>
      </c>
      <c r="Q13" s="38">
        <v>3.9390647995148957E-2</v>
      </c>
      <c r="R13" s="38">
        <v>7.4856334385949463E-2</v>
      </c>
      <c r="S13" s="38">
        <v>3.9323823071910229E-2</v>
      </c>
      <c r="T13" s="38">
        <v>5.4992558712916591E-2</v>
      </c>
      <c r="U13" s="38">
        <v>8.2889038546794372E-2</v>
      </c>
      <c r="V13" s="38">
        <v>0.10912633197508906</v>
      </c>
      <c r="W13" s="38">
        <v>7.9846028381580766E-2</v>
      </c>
      <c r="X13" s="38">
        <v>3.049298736845743E-2</v>
      </c>
      <c r="Y13" s="38">
        <v>9.85661780726939E-3</v>
      </c>
      <c r="Z13" s="38">
        <v>6.8107126600285575E-2</v>
      </c>
      <c r="AA13" s="38">
        <v>3.5288064531803588E-2</v>
      </c>
      <c r="AB13" s="38">
        <v>1.4518185772799525E-2</v>
      </c>
      <c r="AC13" s="38">
        <v>1.1911025541275594E-2</v>
      </c>
      <c r="AD13" s="38">
        <v>3.081219205841344E-3</v>
      </c>
      <c r="AE13" s="38">
        <v>1.8562519754805433E-2</v>
      </c>
      <c r="AF13" s="38">
        <v>1.5225753813967619E-2</v>
      </c>
      <c r="AG13" s="38">
        <v>1.0199509492416126E-2</v>
      </c>
      <c r="AH13" s="38">
        <v>1.5550953661150183E-2</v>
      </c>
      <c r="AI13" s="38">
        <v>2.3893541402349342E-2</v>
      </c>
      <c r="AJ13" s="38">
        <v>2.1284742664050855E-2</v>
      </c>
      <c r="AK13" s="38">
        <v>2.9653903521049463E-2</v>
      </c>
      <c r="AL13" s="38">
        <v>1.9466184535057277E-2</v>
      </c>
      <c r="AM13" s="38">
        <v>9.7841675088801539E-2</v>
      </c>
      <c r="AN13" s="38">
        <v>8.9134456739822614E-3</v>
      </c>
      <c r="AO13" s="64">
        <v>2.6431764835319305</v>
      </c>
      <c r="AP13" s="65">
        <v>1.2519976482230986</v>
      </c>
    </row>
    <row r="14" spans="1:42">
      <c r="A14" s="10">
        <v>9</v>
      </c>
      <c r="B14" s="10" t="s">
        <v>91</v>
      </c>
      <c r="C14" s="12" t="s">
        <v>92</v>
      </c>
      <c r="D14" s="38">
        <v>8.4944716729708752E-3</v>
      </c>
      <c r="E14" s="38">
        <v>5.4449770009142558E-3</v>
      </c>
      <c r="F14" s="38">
        <v>7.9550757564051545E-3</v>
      </c>
      <c r="G14" s="38">
        <v>5.8321533159090928E-3</v>
      </c>
      <c r="H14" s="38">
        <v>6.4196123737766128E-3</v>
      </c>
      <c r="I14" s="38">
        <v>2.2410615376025692E-2</v>
      </c>
      <c r="J14" s="38">
        <v>4.0694773437947557E-2</v>
      </c>
      <c r="K14" s="38">
        <v>1.0839716202964518E-2</v>
      </c>
      <c r="L14" s="38">
        <v>1.1048517383186185</v>
      </c>
      <c r="M14" s="38">
        <v>1.2911892979641633E-2</v>
      </c>
      <c r="N14" s="38">
        <v>5.6033171755084467E-2</v>
      </c>
      <c r="O14" s="38">
        <v>1.3959671520326254E-2</v>
      </c>
      <c r="P14" s="38">
        <v>1.7806627384747011E-2</v>
      </c>
      <c r="Q14" s="38">
        <v>1.3002580149749353E-2</v>
      </c>
      <c r="R14" s="38">
        <v>7.16350899714812E-2</v>
      </c>
      <c r="S14" s="38">
        <v>8.5194354184448873E-2</v>
      </c>
      <c r="T14" s="38">
        <v>3.3514216030217127E-2</v>
      </c>
      <c r="U14" s="38">
        <v>3.5241914841671815E-2</v>
      </c>
      <c r="V14" s="38">
        <v>1.6217299995671505E-2</v>
      </c>
      <c r="W14" s="38">
        <v>1.3729361432383539E-2</v>
      </c>
      <c r="X14" s="38">
        <v>6.3205337086988569E-2</v>
      </c>
      <c r="Y14" s="38">
        <v>3.842360399739861E-3</v>
      </c>
      <c r="Z14" s="38">
        <v>1.3136921130348842E-2</v>
      </c>
      <c r="AA14" s="38">
        <v>3.6732709317366897E-3</v>
      </c>
      <c r="AB14" s="38">
        <v>2.3300827698825455E-3</v>
      </c>
      <c r="AC14" s="38">
        <v>2.112288609636314E-3</v>
      </c>
      <c r="AD14" s="38">
        <v>1.388913429842276E-3</v>
      </c>
      <c r="AE14" s="38">
        <v>8.6165665739896379E-3</v>
      </c>
      <c r="AF14" s="38">
        <v>2.8065045908477093E-3</v>
      </c>
      <c r="AG14" s="38">
        <v>2.9552807863089093E-3</v>
      </c>
      <c r="AH14" s="38">
        <v>4.7139499442086542E-3</v>
      </c>
      <c r="AI14" s="38">
        <v>6.4924427813078302E-3</v>
      </c>
      <c r="AJ14" s="38">
        <v>3.1426624957801058E-3</v>
      </c>
      <c r="AK14" s="38">
        <v>5.6800260222363797E-3</v>
      </c>
      <c r="AL14" s="38">
        <v>4.5308428083286187E-3</v>
      </c>
      <c r="AM14" s="38">
        <v>1.6875188233502824E-2</v>
      </c>
      <c r="AN14" s="38">
        <v>5.9701681359618742E-3</v>
      </c>
      <c r="AO14" s="64">
        <v>1.7336621204316025</v>
      </c>
      <c r="AP14" s="65">
        <v>0.82118651974894341</v>
      </c>
    </row>
    <row r="15" spans="1:42">
      <c r="A15" s="10">
        <v>10</v>
      </c>
      <c r="B15" s="10" t="s">
        <v>93</v>
      </c>
      <c r="C15" s="12" t="s">
        <v>94</v>
      </c>
      <c r="D15" s="38">
        <v>6.811405492919068E-3</v>
      </c>
      <c r="E15" s="38">
        <v>1.17261050121799E-2</v>
      </c>
      <c r="F15" s="38">
        <v>1.1417182290367721E-2</v>
      </c>
      <c r="G15" s="38">
        <v>5.9473323638097476E-3</v>
      </c>
      <c r="H15" s="38">
        <v>3.7838060506386925E-2</v>
      </c>
      <c r="I15" s="38">
        <v>1.3486924697230326E-2</v>
      </c>
      <c r="J15" s="38">
        <v>4.4753785813287303E-3</v>
      </c>
      <c r="K15" s="38">
        <v>1.1064023191442314E-2</v>
      </c>
      <c r="L15" s="38">
        <v>1.5794146732129137E-2</v>
      </c>
      <c r="M15" s="38">
        <v>1.563389872128691</v>
      </c>
      <c r="N15" s="38">
        <v>1.5903319155725376E-2</v>
      </c>
      <c r="O15" s="38">
        <v>0.35267588766611041</v>
      </c>
      <c r="P15" s="38">
        <v>0.18974300820967774</v>
      </c>
      <c r="Q15" s="38">
        <v>0.18101241371323484</v>
      </c>
      <c r="R15" s="38">
        <v>5.4920992090696112E-2</v>
      </c>
      <c r="S15" s="38">
        <v>3.7409629940867939E-2</v>
      </c>
      <c r="T15" s="38">
        <v>9.6100803394881418E-2</v>
      </c>
      <c r="U15" s="38">
        <v>4.3518659341320313E-2</v>
      </c>
      <c r="V15" s="38">
        <v>0.14797458577493927</v>
      </c>
      <c r="W15" s="38">
        <v>2.3282217524218329E-2</v>
      </c>
      <c r="X15" s="38">
        <v>6.6082698051846883E-2</v>
      </c>
      <c r="Y15" s="38">
        <v>6.1535188709525715E-3</v>
      </c>
      <c r="Z15" s="38">
        <v>1.0970733560689547E-2</v>
      </c>
      <c r="AA15" s="38">
        <v>3.4641916158306323E-3</v>
      </c>
      <c r="AB15" s="38">
        <v>4.0577169365504555E-3</v>
      </c>
      <c r="AC15" s="38">
        <v>3.7194953791100491E-3</v>
      </c>
      <c r="AD15" s="38">
        <v>1.7702183155851592E-3</v>
      </c>
      <c r="AE15" s="38">
        <v>6.9151968662790626E-3</v>
      </c>
      <c r="AF15" s="38">
        <v>5.2368149235699482E-3</v>
      </c>
      <c r="AG15" s="38">
        <v>5.001388907660686E-3</v>
      </c>
      <c r="AH15" s="38">
        <v>3.9702491281197235E-3</v>
      </c>
      <c r="AI15" s="38">
        <v>4.9399592025193943E-3</v>
      </c>
      <c r="AJ15" s="38">
        <v>5.1659259677211515E-3</v>
      </c>
      <c r="AK15" s="38">
        <v>1.4122799870783524E-2</v>
      </c>
      <c r="AL15" s="38">
        <v>5.03630386290373E-3</v>
      </c>
      <c r="AM15" s="38">
        <v>2.4308028798519409E-2</v>
      </c>
      <c r="AN15" s="38">
        <v>8.0346782453826499E-3</v>
      </c>
      <c r="AO15" s="64">
        <v>3.0034418663121811</v>
      </c>
      <c r="AP15" s="65">
        <v>1.4226451304428076</v>
      </c>
    </row>
    <row r="16" spans="1:42">
      <c r="A16" s="10">
        <v>11</v>
      </c>
      <c r="B16" s="10" t="s">
        <v>95</v>
      </c>
      <c r="C16" s="12" t="s">
        <v>96</v>
      </c>
      <c r="D16" s="38">
        <v>5.0697203839072781E-3</v>
      </c>
      <c r="E16" s="38">
        <v>5.4021672634285292E-3</v>
      </c>
      <c r="F16" s="38">
        <v>1.062744208734148E-2</v>
      </c>
      <c r="G16" s="38">
        <v>6.3428919432619744E-3</v>
      </c>
      <c r="H16" s="38">
        <v>1.5301912644478206E-2</v>
      </c>
      <c r="I16" s="38">
        <v>1.9645739527800903E-2</v>
      </c>
      <c r="J16" s="38">
        <v>4.7602214784835872E-3</v>
      </c>
      <c r="K16" s="38">
        <v>1.4411431308902557E-2</v>
      </c>
      <c r="L16" s="38">
        <v>3.6058369742678738E-2</v>
      </c>
      <c r="M16" s="38">
        <v>8.7691908020923817E-3</v>
      </c>
      <c r="N16" s="38">
        <v>2.1364366992584034</v>
      </c>
      <c r="O16" s="38">
        <v>9.4479623111636907E-2</v>
      </c>
      <c r="P16" s="38">
        <v>9.0651471085414326E-2</v>
      </c>
      <c r="Q16" s="38">
        <v>6.8609133964700614E-2</v>
      </c>
      <c r="R16" s="38">
        <v>0.12921181769395873</v>
      </c>
      <c r="S16" s="38">
        <v>0.19090282436402012</v>
      </c>
      <c r="T16" s="38">
        <v>0.18149127389829375</v>
      </c>
      <c r="U16" s="38">
        <v>0.1683202710163203</v>
      </c>
      <c r="V16" s="38">
        <v>0.15126742705622659</v>
      </c>
      <c r="W16" s="38">
        <v>4.9270873194206415E-2</v>
      </c>
      <c r="X16" s="38">
        <v>3.4062836734148928E-2</v>
      </c>
      <c r="Y16" s="38">
        <v>7.5203577187099545E-3</v>
      </c>
      <c r="Z16" s="38">
        <v>8.8916363035226806E-3</v>
      </c>
      <c r="AA16" s="38">
        <v>3.6746733721590825E-3</v>
      </c>
      <c r="AB16" s="38">
        <v>3.512743443824711E-3</v>
      </c>
      <c r="AC16" s="38">
        <v>4.0906534306410615E-3</v>
      </c>
      <c r="AD16" s="38">
        <v>1.2884693265266E-3</v>
      </c>
      <c r="AE16" s="38">
        <v>6.3040846726538854E-3</v>
      </c>
      <c r="AF16" s="38">
        <v>5.9674828677216988E-3</v>
      </c>
      <c r="AG16" s="38">
        <v>5.1019185527770477E-3</v>
      </c>
      <c r="AH16" s="38">
        <v>4.6830488136782198E-3</v>
      </c>
      <c r="AI16" s="38">
        <v>9.6603318676570134E-3</v>
      </c>
      <c r="AJ16" s="38">
        <v>5.7035578874224434E-3</v>
      </c>
      <c r="AK16" s="38">
        <v>1.5497706090393006E-2</v>
      </c>
      <c r="AL16" s="38">
        <v>5.2261925396911366E-3</v>
      </c>
      <c r="AM16" s="38">
        <v>2.6584008763146077E-2</v>
      </c>
      <c r="AN16" s="38">
        <v>7.7005206382362457E-3</v>
      </c>
      <c r="AO16" s="64">
        <v>3.5425007248484666</v>
      </c>
      <c r="AP16" s="65">
        <v>1.6779820053530388</v>
      </c>
    </row>
    <row r="17" spans="1:42">
      <c r="A17" s="10">
        <v>12</v>
      </c>
      <c r="B17" s="10" t="s">
        <v>97</v>
      </c>
      <c r="C17" s="12" t="s">
        <v>98</v>
      </c>
      <c r="D17" s="38">
        <v>9.3203193274103511E-3</v>
      </c>
      <c r="E17" s="38">
        <v>1.3623177868267141E-2</v>
      </c>
      <c r="F17" s="38">
        <v>2.4219181403226177E-2</v>
      </c>
      <c r="G17" s="38">
        <v>8.6582216819999832E-3</v>
      </c>
      <c r="H17" s="38">
        <v>2.629563394956461E-2</v>
      </c>
      <c r="I17" s="38">
        <v>2.9428723794105528E-2</v>
      </c>
      <c r="J17" s="38">
        <v>5.2564732791328299E-3</v>
      </c>
      <c r="K17" s="38">
        <v>1.3576869533134799E-2</v>
      </c>
      <c r="L17" s="38">
        <v>1.6166761185264906E-2</v>
      </c>
      <c r="M17" s="38">
        <v>1.4973710429165952E-2</v>
      </c>
      <c r="N17" s="38">
        <v>1.826165620764925E-2</v>
      </c>
      <c r="O17" s="38">
        <v>1.0772301480687396</v>
      </c>
      <c r="P17" s="38">
        <v>5.1561142072221441E-2</v>
      </c>
      <c r="Q17" s="38">
        <v>4.8048533309167071E-2</v>
      </c>
      <c r="R17" s="38">
        <v>5.5775330370503855E-2</v>
      </c>
      <c r="S17" s="38">
        <v>4.7429476654272322E-2</v>
      </c>
      <c r="T17" s="38">
        <v>4.8492616426800257E-2</v>
      </c>
      <c r="U17" s="38">
        <v>5.4200138651668263E-2</v>
      </c>
      <c r="V17" s="38">
        <v>3.1109580344662168E-2</v>
      </c>
      <c r="W17" s="38">
        <v>2.1545514273585149E-2</v>
      </c>
      <c r="X17" s="38">
        <v>9.2523168673913941E-2</v>
      </c>
      <c r="Y17" s="38">
        <v>5.8419035937929764E-3</v>
      </c>
      <c r="Z17" s="38">
        <v>9.951561288846127E-3</v>
      </c>
      <c r="AA17" s="38">
        <v>3.2816227761945445E-3</v>
      </c>
      <c r="AB17" s="38">
        <v>5.2772940759431503E-3</v>
      </c>
      <c r="AC17" s="38">
        <v>2.7621537530847697E-3</v>
      </c>
      <c r="AD17" s="38">
        <v>2.1498174544259075E-3</v>
      </c>
      <c r="AE17" s="38">
        <v>5.7281677508026268E-3</v>
      </c>
      <c r="AF17" s="38">
        <v>4.2930809410645443E-3</v>
      </c>
      <c r="AG17" s="38">
        <v>5.9237457550792771E-3</v>
      </c>
      <c r="AH17" s="38">
        <v>3.6485462211913182E-3</v>
      </c>
      <c r="AI17" s="38">
        <v>7.3564388289157172E-3</v>
      </c>
      <c r="AJ17" s="38">
        <v>6.0560818405145499E-3</v>
      </c>
      <c r="AK17" s="38">
        <v>6.8325474770080134E-3</v>
      </c>
      <c r="AL17" s="38">
        <v>8.0315014802425436E-3</v>
      </c>
      <c r="AM17" s="38">
        <v>2.0189982618457839E-2</v>
      </c>
      <c r="AN17" s="38">
        <v>6.6085962591883205E-3</v>
      </c>
      <c r="AO17" s="64">
        <v>1.811629419619208</v>
      </c>
      <c r="AP17" s="65">
        <v>0.85811741552127241</v>
      </c>
    </row>
    <row r="18" spans="1:42">
      <c r="A18" s="10">
        <v>13</v>
      </c>
      <c r="B18" s="10" t="s">
        <v>99</v>
      </c>
      <c r="C18" s="12" t="s">
        <v>183</v>
      </c>
      <c r="D18" s="38">
        <v>1.4929946930105921E-3</v>
      </c>
      <c r="E18" s="38">
        <v>7.6545771662260564E-3</v>
      </c>
      <c r="F18" s="38">
        <v>2.0243142993016392E-3</v>
      </c>
      <c r="G18" s="38">
        <v>1.7740821912000776E-3</v>
      </c>
      <c r="H18" s="38">
        <v>1.8212061857232548E-3</v>
      </c>
      <c r="I18" s="38">
        <v>2.3579250975512634E-3</v>
      </c>
      <c r="J18" s="38">
        <v>1.962829447485972E-3</v>
      </c>
      <c r="K18" s="38">
        <v>2.5983493482883129E-3</v>
      </c>
      <c r="L18" s="38">
        <v>4.2983036386002637E-3</v>
      </c>
      <c r="M18" s="38">
        <v>3.2638414062157134E-3</v>
      </c>
      <c r="N18" s="38">
        <v>3.0088009064858554E-3</v>
      </c>
      <c r="O18" s="38">
        <v>3.0628024085439499E-3</v>
      </c>
      <c r="P18" s="38">
        <v>1.1748594551650571</v>
      </c>
      <c r="Q18" s="38">
        <v>5.5833576988731919E-2</v>
      </c>
      <c r="R18" s="38">
        <v>1.8466315497333165E-2</v>
      </c>
      <c r="S18" s="38">
        <v>6.095347245477372E-3</v>
      </c>
      <c r="T18" s="38">
        <v>1.8065410848615359E-2</v>
      </c>
      <c r="U18" s="38">
        <v>5.1795536590454926E-3</v>
      </c>
      <c r="V18" s="38">
        <v>2.2773848240705084E-2</v>
      </c>
      <c r="W18" s="38">
        <v>6.8209419556082111E-3</v>
      </c>
      <c r="X18" s="38">
        <v>1.0356309779574897E-2</v>
      </c>
      <c r="Y18" s="38">
        <v>3.6285624357292748E-3</v>
      </c>
      <c r="Z18" s="38">
        <v>1.8600735364389116E-2</v>
      </c>
      <c r="AA18" s="38">
        <v>1.8704777855968163E-3</v>
      </c>
      <c r="AB18" s="38">
        <v>1.7755425918189319E-3</v>
      </c>
      <c r="AC18" s="38">
        <v>2.2565242181170515E-3</v>
      </c>
      <c r="AD18" s="38">
        <v>6.266743911399901E-4</v>
      </c>
      <c r="AE18" s="38">
        <v>3.8343064997419618E-3</v>
      </c>
      <c r="AF18" s="38">
        <v>2.9524766654490252E-3</v>
      </c>
      <c r="AG18" s="38">
        <v>2.1049489176887125E-3</v>
      </c>
      <c r="AH18" s="38">
        <v>2.0427608180582325E-3</v>
      </c>
      <c r="AI18" s="38">
        <v>1.690399921018846E-3</v>
      </c>
      <c r="AJ18" s="38">
        <v>1.9575017316383232E-3</v>
      </c>
      <c r="AK18" s="38">
        <v>1.2360686847633532E-2</v>
      </c>
      <c r="AL18" s="38">
        <v>1.7229422848024506E-3</v>
      </c>
      <c r="AM18" s="38">
        <v>3.1610213712479577E-3</v>
      </c>
      <c r="AN18" s="38">
        <v>1.2957391842121251E-3</v>
      </c>
      <c r="AO18" s="64">
        <v>1.4156520871970639</v>
      </c>
      <c r="AP18" s="65">
        <v>0.67055419678389916</v>
      </c>
    </row>
    <row r="19" spans="1:42">
      <c r="A19" s="10">
        <v>14</v>
      </c>
      <c r="B19" s="10" t="s">
        <v>100</v>
      </c>
      <c r="C19" s="12" t="s">
        <v>184</v>
      </c>
      <c r="D19" s="38">
        <v>1.822667162480865E-3</v>
      </c>
      <c r="E19" s="38">
        <v>3.5806060785297678E-3</v>
      </c>
      <c r="F19" s="38">
        <v>2.5585504613779056E-3</v>
      </c>
      <c r="G19" s="38">
        <v>2.0858546989278451E-3</v>
      </c>
      <c r="H19" s="38">
        <v>2.0279502196864393E-3</v>
      </c>
      <c r="I19" s="38">
        <v>3.0243898311232407E-3</v>
      </c>
      <c r="J19" s="38">
        <v>2.1081832662285596E-3</v>
      </c>
      <c r="K19" s="38">
        <v>6.9198662112585343E-3</v>
      </c>
      <c r="L19" s="38">
        <v>4.4378477019148118E-3</v>
      </c>
      <c r="M19" s="38">
        <v>3.7922625132414452E-3</v>
      </c>
      <c r="N19" s="38">
        <v>3.4159983044321071E-3</v>
      </c>
      <c r="O19" s="38">
        <v>2.765947010347504E-3</v>
      </c>
      <c r="P19" s="38">
        <v>8.6253194366551315E-3</v>
      </c>
      <c r="Q19" s="38">
        <v>1.1738471906248067</v>
      </c>
      <c r="R19" s="38">
        <v>4.8657872559402481E-3</v>
      </c>
      <c r="S19" s="38">
        <v>6.7967106276027988E-3</v>
      </c>
      <c r="T19" s="38">
        <v>6.9356348552888306E-3</v>
      </c>
      <c r="U19" s="38">
        <v>4.7664080333088069E-3</v>
      </c>
      <c r="V19" s="38">
        <v>4.8740679101659662E-3</v>
      </c>
      <c r="W19" s="38">
        <v>3.263304042910027E-3</v>
      </c>
      <c r="X19" s="38">
        <v>3.2267573520179415E-3</v>
      </c>
      <c r="Y19" s="38">
        <v>4.155848744150579E-3</v>
      </c>
      <c r="Z19" s="38">
        <v>4.6234219248091598E-3</v>
      </c>
      <c r="AA19" s="38">
        <v>2.1810198449140113E-3</v>
      </c>
      <c r="AB19" s="38">
        <v>2.118485521587389E-3</v>
      </c>
      <c r="AC19" s="38">
        <v>2.7632278177842579E-3</v>
      </c>
      <c r="AD19" s="38">
        <v>6.4495686578073261E-4</v>
      </c>
      <c r="AE19" s="38">
        <v>4.4472756458891005E-3</v>
      </c>
      <c r="AF19" s="38">
        <v>3.5528748743244103E-3</v>
      </c>
      <c r="AG19" s="38">
        <v>2.0247709233607442E-3</v>
      </c>
      <c r="AH19" s="38">
        <v>2.2962360753705927E-3</v>
      </c>
      <c r="AI19" s="38">
        <v>1.7996868223048024E-3</v>
      </c>
      <c r="AJ19" s="38">
        <v>2.2330301331439941E-3</v>
      </c>
      <c r="AK19" s="38">
        <v>1.6338758599562738E-2</v>
      </c>
      <c r="AL19" s="38">
        <v>1.871271091585995E-3</v>
      </c>
      <c r="AM19" s="38">
        <v>2.8277469974939229E-3</v>
      </c>
      <c r="AN19" s="38">
        <v>1.3805451785019794E-3</v>
      </c>
      <c r="AO19" s="64">
        <v>1.3110004606588099</v>
      </c>
      <c r="AP19" s="65">
        <v>0.62098369283724775</v>
      </c>
    </row>
    <row r="20" spans="1:42">
      <c r="A20" s="10">
        <v>15</v>
      </c>
      <c r="B20" s="10" t="s">
        <v>101</v>
      </c>
      <c r="C20" s="12" t="s">
        <v>185</v>
      </c>
      <c r="D20" s="38">
        <v>6.2639268264463627E-4</v>
      </c>
      <c r="E20" s="38">
        <v>8.9470602791178442E-4</v>
      </c>
      <c r="F20" s="38">
        <v>8.4228943310423311E-4</v>
      </c>
      <c r="G20" s="38">
        <v>7.6336650905625897E-4</v>
      </c>
      <c r="H20" s="38">
        <v>6.5281034098713055E-4</v>
      </c>
      <c r="I20" s="38">
        <v>9.0399298227328501E-4</v>
      </c>
      <c r="J20" s="38">
        <v>6.0107226279046562E-4</v>
      </c>
      <c r="K20" s="38">
        <v>7.3221314889211164E-4</v>
      </c>
      <c r="L20" s="38">
        <v>8.2232618906782743E-4</v>
      </c>
      <c r="M20" s="38">
        <v>5.9913531658381677E-4</v>
      </c>
      <c r="N20" s="38">
        <v>8.6464752367528886E-4</v>
      </c>
      <c r="O20" s="38">
        <v>5.7559885347171775E-4</v>
      </c>
      <c r="P20" s="38">
        <v>3.1286058060238935E-3</v>
      </c>
      <c r="Q20" s="38">
        <v>5.9643561157797995E-3</v>
      </c>
      <c r="R20" s="38">
        <v>1.0881100572770299</v>
      </c>
      <c r="S20" s="38">
        <v>9.5904705177493762E-4</v>
      </c>
      <c r="T20" s="38">
        <v>1.5187581411650094E-3</v>
      </c>
      <c r="U20" s="38">
        <v>1.520647867496719E-3</v>
      </c>
      <c r="V20" s="38">
        <v>1.2568112610160033E-3</v>
      </c>
      <c r="W20" s="38">
        <v>8.6696966550417595E-4</v>
      </c>
      <c r="X20" s="38">
        <v>1.1128342267513801E-3</v>
      </c>
      <c r="Y20" s="38">
        <v>1.2506489220927351E-3</v>
      </c>
      <c r="Z20" s="38">
        <v>1.4082615071130213E-3</v>
      </c>
      <c r="AA20" s="38">
        <v>7.6501676953985998E-4</v>
      </c>
      <c r="AB20" s="38">
        <v>1.6335922901967539E-3</v>
      </c>
      <c r="AC20" s="38">
        <v>9.5834234878206946E-4</v>
      </c>
      <c r="AD20" s="38">
        <v>2.1488096508286928E-4</v>
      </c>
      <c r="AE20" s="38">
        <v>1.4130965200724731E-3</v>
      </c>
      <c r="AF20" s="38">
        <v>1.3300396268092105E-3</v>
      </c>
      <c r="AG20" s="38">
        <v>3.1256956025984849E-3</v>
      </c>
      <c r="AH20" s="38">
        <v>8.2714199027496618E-4</v>
      </c>
      <c r="AI20" s="38">
        <v>1.2632649005683196E-2</v>
      </c>
      <c r="AJ20" s="38">
        <v>8.4125965406623955E-4</v>
      </c>
      <c r="AK20" s="38">
        <v>4.8724790509130983E-3</v>
      </c>
      <c r="AL20" s="38">
        <v>1.6454419167091954E-3</v>
      </c>
      <c r="AM20" s="38">
        <v>2.6474846424975714E-2</v>
      </c>
      <c r="AN20" s="38">
        <v>7.02139847137136E-4</v>
      </c>
      <c r="AO20" s="64">
        <v>1.1734121711250474</v>
      </c>
      <c r="AP20" s="65">
        <v>0.55581202685407893</v>
      </c>
    </row>
    <row r="21" spans="1:42">
      <c r="A21" s="10">
        <v>16</v>
      </c>
      <c r="B21" s="10" t="s">
        <v>102</v>
      </c>
      <c r="C21" s="12" t="s">
        <v>186</v>
      </c>
      <c r="D21" s="38">
        <v>3.2258158948861638E-3</v>
      </c>
      <c r="E21" s="38">
        <v>5.1089037133472386E-3</v>
      </c>
      <c r="F21" s="38">
        <v>4.5595189551858898E-3</v>
      </c>
      <c r="G21" s="38">
        <v>4.4835449360289452E-3</v>
      </c>
      <c r="H21" s="38">
        <v>3.8019670579207635E-3</v>
      </c>
      <c r="I21" s="38">
        <v>5.0536269066690726E-3</v>
      </c>
      <c r="J21" s="38">
        <v>3.3581551875104328E-3</v>
      </c>
      <c r="K21" s="38">
        <v>4.045920332052355E-3</v>
      </c>
      <c r="L21" s="38">
        <v>4.5957749526542423E-3</v>
      </c>
      <c r="M21" s="38">
        <v>3.4198136737014322E-3</v>
      </c>
      <c r="N21" s="38">
        <v>8.7817866205691635E-3</v>
      </c>
      <c r="O21" s="38">
        <v>4.2174965298114727E-3</v>
      </c>
      <c r="P21" s="38">
        <v>1.7923318650089278E-2</v>
      </c>
      <c r="Q21" s="38">
        <v>3.2236821638536257E-2</v>
      </c>
      <c r="R21" s="38">
        <v>0.19392098540569414</v>
      </c>
      <c r="S21" s="38">
        <v>1.452526071735041</v>
      </c>
      <c r="T21" s="38">
        <v>0.30873540854506576</v>
      </c>
      <c r="U21" s="38">
        <v>0.46554055145981815</v>
      </c>
      <c r="V21" s="38">
        <v>6.2028247160907483E-2</v>
      </c>
      <c r="W21" s="38">
        <v>3.8226872355370756E-2</v>
      </c>
      <c r="X21" s="38">
        <v>8.893127219017959E-3</v>
      </c>
      <c r="Y21" s="38">
        <v>7.2868509966840852E-3</v>
      </c>
      <c r="Z21" s="38">
        <v>7.5380864746761615E-3</v>
      </c>
      <c r="AA21" s="38">
        <v>4.0380715316693924E-3</v>
      </c>
      <c r="AB21" s="38">
        <v>4.3835999271008893E-3</v>
      </c>
      <c r="AC21" s="38">
        <v>5.7140718074695498E-3</v>
      </c>
      <c r="AD21" s="38">
        <v>1.2723253282853077E-3</v>
      </c>
      <c r="AE21" s="38">
        <v>8.0115727556941841E-3</v>
      </c>
      <c r="AF21" s="38">
        <v>8.5067905459828459E-3</v>
      </c>
      <c r="AG21" s="38">
        <v>7.0683738405024552E-3</v>
      </c>
      <c r="AH21" s="38">
        <v>6.6268412941631301E-3</v>
      </c>
      <c r="AI21" s="38">
        <v>5.4784227711710837E-3</v>
      </c>
      <c r="AJ21" s="38">
        <v>5.5348444617463024E-3</v>
      </c>
      <c r="AK21" s="38">
        <v>2.7664281365506589E-2</v>
      </c>
      <c r="AL21" s="38">
        <v>3.8910683164647573E-3</v>
      </c>
      <c r="AM21" s="38">
        <v>5.9631844194540873E-2</v>
      </c>
      <c r="AN21" s="38">
        <v>3.0296567103273503E-3</v>
      </c>
      <c r="AO21" s="64">
        <v>2.8003604312518626</v>
      </c>
      <c r="AP21" s="65">
        <v>1.326451221077535</v>
      </c>
    </row>
    <row r="22" spans="1:42">
      <c r="A22" s="10">
        <v>17</v>
      </c>
      <c r="B22" s="10" t="s">
        <v>104</v>
      </c>
      <c r="C22" s="12" t="s">
        <v>105</v>
      </c>
      <c r="D22" s="38">
        <v>1.603185009401255E-3</v>
      </c>
      <c r="E22" s="38">
        <v>2.6922654954842141E-3</v>
      </c>
      <c r="F22" s="38">
        <v>2.128746418495509E-3</v>
      </c>
      <c r="G22" s="38">
        <v>1.9325569167481171E-3</v>
      </c>
      <c r="H22" s="38">
        <v>1.7858011398911809E-3</v>
      </c>
      <c r="I22" s="38">
        <v>2.3682802089879554E-3</v>
      </c>
      <c r="J22" s="38">
        <v>1.6995181716480152E-3</v>
      </c>
      <c r="K22" s="38">
        <v>2.0416399629952838E-3</v>
      </c>
      <c r="L22" s="38">
        <v>2.2943758373150111E-3</v>
      </c>
      <c r="M22" s="38">
        <v>1.6827046030501037E-3</v>
      </c>
      <c r="N22" s="38">
        <v>3.2020547449928007E-3</v>
      </c>
      <c r="O22" s="38">
        <v>1.8471530833521722E-3</v>
      </c>
      <c r="P22" s="38">
        <v>2.0920309000038016E-2</v>
      </c>
      <c r="Q22" s="38">
        <v>3.1870283411031222E-2</v>
      </c>
      <c r="R22" s="38">
        <v>2.279303161672349E-2</v>
      </c>
      <c r="S22" s="38">
        <v>1.7878393381749375E-2</v>
      </c>
      <c r="T22" s="38">
        <v>1.0863551472866355</v>
      </c>
      <c r="U22" s="38">
        <v>2.6861035631124262E-2</v>
      </c>
      <c r="V22" s="38">
        <v>8.8393509189623742E-2</v>
      </c>
      <c r="W22" s="38">
        <v>9.09282213730323E-3</v>
      </c>
      <c r="X22" s="38">
        <v>1.089623372655764E-2</v>
      </c>
      <c r="Y22" s="38">
        <v>3.6647555630815536E-3</v>
      </c>
      <c r="Z22" s="38">
        <v>4.3333802715969866E-3</v>
      </c>
      <c r="AA22" s="38">
        <v>1.8907727206053419E-3</v>
      </c>
      <c r="AB22" s="38">
        <v>2.1145935239281263E-3</v>
      </c>
      <c r="AC22" s="38">
        <v>2.4915716151734154E-3</v>
      </c>
      <c r="AD22" s="38">
        <v>6.9341918669105305E-4</v>
      </c>
      <c r="AE22" s="38">
        <v>4.3257489654885727E-3</v>
      </c>
      <c r="AF22" s="38">
        <v>3.4356979201238809E-3</v>
      </c>
      <c r="AG22" s="38">
        <v>3.6362385836847711E-3</v>
      </c>
      <c r="AH22" s="38">
        <v>2.8959739430090004E-3</v>
      </c>
      <c r="AI22" s="38">
        <v>1.8327439484410223E-3</v>
      </c>
      <c r="AJ22" s="38">
        <v>2.1812799594922963E-3</v>
      </c>
      <c r="AK22" s="38">
        <v>1.3484445927865711E-2</v>
      </c>
      <c r="AL22" s="38">
        <v>1.8414480904782563E-3</v>
      </c>
      <c r="AM22" s="38">
        <v>3.99618524854322E-3</v>
      </c>
      <c r="AN22" s="38">
        <v>1.7716861482129237E-3</v>
      </c>
      <c r="AO22" s="64">
        <v>1.3949289885895646</v>
      </c>
      <c r="AP22" s="65">
        <v>0.66073825339830461</v>
      </c>
    </row>
    <row r="23" spans="1:42">
      <c r="A23" s="10">
        <v>18</v>
      </c>
      <c r="B23" s="10" t="s">
        <v>106</v>
      </c>
      <c r="C23" s="12" t="s">
        <v>187</v>
      </c>
      <c r="D23" s="38">
        <v>2.1928467096107246E-4</v>
      </c>
      <c r="E23" s="38">
        <v>3.2841157431383821E-4</v>
      </c>
      <c r="F23" s="38">
        <v>2.80257605094888E-4</v>
      </c>
      <c r="G23" s="38">
        <v>2.4804877635115785E-4</v>
      </c>
      <c r="H23" s="38">
        <v>2.1904559797789481E-4</v>
      </c>
      <c r="I23" s="38">
        <v>3.8603162024809134E-4</v>
      </c>
      <c r="J23" s="38">
        <v>3.8567414724132175E-4</v>
      </c>
      <c r="K23" s="38">
        <v>2.5444480339587152E-4</v>
      </c>
      <c r="L23" s="38">
        <v>3.00839408247399E-4</v>
      </c>
      <c r="M23" s="38">
        <v>2.077233342511381E-4</v>
      </c>
      <c r="N23" s="38">
        <v>2.9409028847691152E-4</v>
      </c>
      <c r="O23" s="38">
        <v>2.3636300151570381E-4</v>
      </c>
      <c r="P23" s="38">
        <v>6.4702768432936303E-4</v>
      </c>
      <c r="Q23" s="38">
        <v>5.0658116112878E-4</v>
      </c>
      <c r="R23" s="38">
        <v>2.6871624660956638E-4</v>
      </c>
      <c r="S23" s="38">
        <v>3.2129722308468848E-4</v>
      </c>
      <c r="T23" s="38">
        <v>2.9546285084541574E-4</v>
      </c>
      <c r="U23" s="38">
        <v>1.0255696013378248</v>
      </c>
      <c r="V23" s="38">
        <v>3.7168581629546624E-4</v>
      </c>
      <c r="W23" s="38">
        <v>2.6209457966243344E-4</v>
      </c>
      <c r="X23" s="38">
        <v>2.192862481404558E-3</v>
      </c>
      <c r="Y23" s="38">
        <v>4.4135834263625703E-4</v>
      </c>
      <c r="Z23" s="38">
        <v>5.0510759971194512E-4</v>
      </c>
      <c r="AA23" s="38">
        <v>2.6005366770195671E-4</v>
      </c>
      <c r="AB23" s="38">
        <v>4.4722845070223533E-4</v>
      </c>
      <c r="AC23" s="38">
        <v>3.9764669645232477E-4</v>
      </c>
      <c r="AD23" s="38">
        <v>1.4495083173113595E-4</v>
      </c>
      <c r="AE23" s="38">
        <v>5.4021645570803331E-4</v>
      </c>
      <c r="AF23" s="38">
        <v>5.0806211751106933E-4</v>
      </c>
      <c r="AG23" s="38">
        <v>1.3517995991257593E-3</v>
      </c>
      <c r="AH23" s="38">
        <v>3.4311168877651749E-4</v>
      </c>
      <c r="AI23" s="38">
        <v>2.2252610271808181E-4</v>
      </c>
      <c r="AJ23" s="38">
        <v>2.9673881533770193E-4</v>
      </c>
      <c r="AK23" s="38">
        <v>1.4722268065192937E-3</v>
      </c>
      <c r="AL23" s="38">
        <v>3.0382030319527249E-4</v>
      </c>
      <c r="AM23" s="38">
        <v>3.0763707366087377E-4</v>
      </c>
      <c r="AN23" s="38">
        <v>2.9723953951170433E-4</v>
      </c>
      <c r="AO23" s="64">
        <v>1.0416352683002603</v>
      </c>
      <c r="AP23" s="65">
        <v>0.4933930497427596</v>
      </c>
    </row>
    <row r="24" spans="1:42">
      <c r="A24" s="10">
        <v>19</v>
      </c>
      <c r="B24" s="10" t="s">
        <v>108</v>
      </c>
      <c r="C24" s="12" t="s">
        <v>109</v>
      </c>
      <c r="D24" s="38">
        <v>7.6458164307672055E-3</v>
      </c>
      <c r="E24" s="38">
        <v>1.3914546491631418E-2</v>
      </c>
      <c r="F24" s="38">
        <v>9.8647741068273731E-3</v>
      </c>
      <c r="G24" s="38">
        <v>8.2342800159924453E-3</v>
      </c>
      <c r="H24" s="38">
        <v>7.2041093947788591E-3</v>
      </c>
      <c r="I24" s="38">
        <v>1.0884150123338234E-2</v>
      </c>
      <c r="J24" s="38">
        <v>8.0515388590811331E-3</v>
      </c>
      <c r="K24" s="38">
        <v>8.327728580559586E-3</v>
      </c>
      <c r="L24" s="38">
        <v>1.0250096653973129E-2</v>
      </c>
      <c r="M24" s="38">
        <v>7.1439779381911534E-3</v>
      </c>
      <c r="N24" s="38">
        <v>1.0256222124615185E-2</v>
      </c>
      <c r="O24" s="38">
        <v>6.5626847272785291E-3</v>
      </c>
      <c r="P24" s="38">
        <v>7.1415557298723622E-3</v>
      </c>
      <c r="Q24" s="38">
        <v>7.5605198881722015E-3</v>
      </c>
      <c r="R24" s="38">
        <v>8.1636551425685391E-3</v>
      </c>
      <c r="S24" s="38">
        <v>9.9194397620089095E-3</v>
      </c>
      <c r="T24" s="38">
        <v>8.6813429607789146E-3</v>
      </c>
      <c r="U24" s="38">
        <v>9.2459981654883384E-3</v>
      </c>
      <c r="V24" s="38">
        <v>1.5255037036304413</v>
      </c>
      <c r="W24" s="38">
        <v>8.5929974377779526E-3</v>
      </c>
      <c r="X24" s="38">
        <v>1.1577966056974717E-2</v>
      </c>
      <c r="Y24" s="38">
        <v>1.699590562037874E-2</v>
      </c>
      <c r="Z24" s="38">
        <v>1.6004880266930779E-2</v>
      </c>
      <c r="AA24" s="38">
        <v>8.9981621554319335E-3</v>
      </c>
      <c r="AB24" s="38">
        <v>8.8743130947586436E-3</v>
      </c>
      <c r="AC24" s="38">
        <v>1.142380848447647E-2</v>
      </c>
      <c r="AD24" s="38">
        <v>2.6295022834779041E-3</v>
      </c>
      <c r="AE24" s="38">
        <v>2.4675323339167266E-2</v>
      </c>
      <c r="AF24" s="38">
        <v>1.4493385585253099E-2</v>
      </c>
      <c r="AG24" s="38">
        <v>1.5577683354572776E-2</v>
      </c>
      <c r="AH24" s="38">
        <v>9.5253968770985954E-3</v>
      </c>
      <c r="AI24" s="38">
        <v>7.0441034129098109E-3</v>
      </c>
      <c r="AJ24" s="38">
        <v>9.0424791405260638E-3</v>
      </c>
      <c r="AK24" s="38">
        <v>6.6870161159284194E-2</v>
      </c>
      <c r="AL24" s="38">
        <v>7.8570351151314617E-3</v>
      </c>
      <c r="AM24" s="38">
        <v>9.0927920783520355E-3</v>
      </c>
      <c r="AN24" s="38">
        <v>6.5870902634246505E-3</v>
      </c>
      <c r="AO24" s="64">
        <v>1.9404191264522923</v>
      </c>
      <c r="AP24" s="65">
        <v>0.91912144271165586</v>
      </c>
    </row>
    <row r="25" spans="1:42">
      <c r="A25" s="10">
        <v>20</v>
      </c>
      <c r="B25" s="10" t="s">
        <v>110</v>
      </c>
      <c r="C25" s="12" t="s">
        <v>66</v>
      </c>
      <c r="D25" s="38">
        <v>9.3536853595319793E-3</v>
      </c>
      <c r="E25" s="38">
        <v>1.0291325706985982E-2</v>
      </c>
      <c r="F25" s="38">
        <v>1.7622662472408585E-2</v>
      </c>
      <c r="G25" s="38">
        <v>3.3204744296224428E-2</v>
      </c>
      <c r="H25" s="38">
        <v>2.5902832972725272E-2</v>
      </c>
      <c r="I25" s="38">
        <v>1.4735565237141821E-2</v>
      </c>
      <c r="J25" s="38">
        <v>5.8872481734111243E-3</v>
      </c>
      <c r="K25" s="38">
        <v>1.4245643411735925E-2</v>
      </c>
      <c r="L25" s="38">
        <v>1.2983750354346122E-2</v>
      </c>
      <c r="M25" s="38">
        <v>1.5057847909580693E-2</v>
      </c>
      <c r="N25" s="38">
        <v>0.12292349754700983</v>
      </c>
      <c r="O25" s="38">
        <v>1.2428584508536058E-2</v>
      </c>
      <c r="P25" s="38">
        <v>1.1774487870037148E-2</v>
      </c>
      <c r="Q25" s="38">
        <v>1.1872490700645133E-2</v>
      </c>
      <c r="R25" s="38">
        <v>2.3040356409127525E-2</v>
      </c>
      <c r="S25" s="38">
        <v>2.0701635194587811E-2</v>
      </c>
      <c r="T25" s="38">
        <v>2.2785822748109388E-2</v>
      </c>
      <c r="U25" s="38">
        <v>2.2804448796025736E-2</v>
      </c>
      <c r="V25" s="38">
        <v>1.6754516679470147E-2</v>
      </c>
      <c r="W25" s="38">
        <v>1.088832050234473</v>
      </c>
      <c r="X25" s="38">
        <v>1.1825129549136844E-2</v>
      </c>
      <c r="Y25" s="38">
        <v>9.5751406970212491E-3</v>
      </c>
      <c r="Z25" s="38">
        <v>1.2570548121556091E-2</v>
      </c>
      <c r="AA25" s="38">
        <v>1.1142536097634867E-2</v>
      </c>
      <c r="AB25" s="38">
        <v>1.1180471878411015E-2</v>
      </c>
      <c r="AC25" s="38">
        <v>2.2985701579844194E-2</v>
      </c>
      <c r="AD25" s="38">
        <v>2.606830547092705E-3</v>
      </c>
      <c r="AE25" s="38">
        <v>8.7124179005847457E-3</v>
      </c>
      <c r="AF25" s="38">
        <v>3.4806838979513852E-2</v>
      </c>
      <c r="AG25" s="38">
        <v>1.1727250904985243E-2</v>
      </c>
      <c r="AH25" s="38">
        <v>2.3788377432004369E-2</v>
      </c>
      <c r="AI25" s="38">
        <v>1.0160557846143102E-2</v>
      </c>
      <c r="AJ25" s="38">
        <v>4.8918019272073746E-2</v>
      </c>
      <c r="AK25" s="38">
        <v>1.4579969162397982E-2</v>
      </c>
      <c r="AL25" s="38">
        <v>1.2695803921151222E-2</v>
      </c>
      <c r="AM25" s="38">
        <v>0.1576853062504551</v>
      </c>
      <c r="AN25" s="38">
        <v>6.4387073378452137E-3</v>
      </c>
      <c r="AO25" s="64">
        <v>1.9246028040599656</v>
      </c>
      <c r="AP25" s="65">
        <v>0.91162969989307907</v>
      </c>
    </row>
    <row r="26" spans="1:42">
      <c r="A26" s="10">
        <v>21</v>
      </c>
      <c r="B26" s="10" t="s">
        <v>111</v>
      </c>
      <c r="C26" s="12" t="s">
        <v>112</v>
      </c>
      <c r="D26" s="38">
        <v>9.6188434127636828E-3</v>
      </c>
      <c r="E26" s="38">
        <v>1.328416160457666E-2</v>
      </c>
      <c r="F26" s="38">
        <v>7.1594322610954485E-3</v>
      </c>
      <c r="G26" s="38">
        <v>8.3862902706824602E-3</v>
      </c>
      <c r="H26" s="38">
        <v>1.2295338502823078E-2</v>
      </c>
      <c r="I26" s="38">
        <v>8.0097876824457622E-3</v>
      </c>
      <c r="J26" s="38">
        <v>1.4254298063928974E-2</v>
      </c>
      <c r="K26" s="38">
        <v>1.1137601497786514E-2</v>
      </c>
      <c r="L26" s="38">
        <v>1.4233703568895332E-2</v>
      </c>
      <c r="M26" s="38">
        <v>1.3198430188193671E-2</v>
      </c>
      <c r="N26" s="38">
        <v>1.6309364119852218E-2</v>
      </c>
      <c r="O26" s="38">
        <v>1.1047536346330213E-2</v>
      </c>
      <c r="P26" s="38">
        <v>8.1740920030477209E-3</v>
      </c>
      <c r="Q26" s="38">
        <v>7.2379079546427147E-3</v>
      </c>
      <c r="R26" s="38">
        <v>8.9649565087181558E-3</v>
      </c>
      <c r="S26" s="38">
        <v>1.3486483615479262E-2</v>
      </c>
      <c r="T26" s="38">
        <v>9.6298509929278516E-3</v>
      </c>
      <c r="U26" s="38">
        <v>1.0978715986084199E-2</v>
      </c>
      <c r="V26" s="38">
        <v>8.3801037200347851E-3</v>
      </c>
      <c r="W26" s="38">
        <v>8.8320293784464547E-3</v>
      </c>
      <c r="X26" s="38">
        <v>1.0066491312083019</v>
      </c>
      <c r="Y26" s="38">
        <v>2.6558605558296016E-2</v>
      </c>
      <c r="Z26" s="38">
        <v>5.8557860231407403E-2</v>
      </c>
      <c r="AA26" s="38">
        <v>8.7270880912459024E-3</v>
      </c>
      <c r="AB26" s="38">
        <v>8.0808808131046638E-3</v>
      </c>
      <c r="AC26" s="38">
        <v>7.3022559465662357E-3</v>
      </c>
      <c r="AD26" s="38">
        <v>1.5509018273255836E-2</v>
      </c>
      <c r="AE26" s="38">
        <v>1.9633324662994667E-2</v>
      </c>
      <c r="AF26" s="38">
        <v>9.961159597444558E-3</v>
      </c>
      <c r="AG26" s="38">
        <v>1.2017265319001427E-2</v>
      </c>
      <c r="AH26" s="38">
        <v>1.0057479065955345E-2</v>
      </c>
      <c r="AI26" s="38">
        <v>7.0630623228521445E-3</v>
      </c>
      <c r="AJ26" s="38">
        <v>5.8854207789788516E-3</v>
      </c>
      <c r="AK26" s="38">
        <v>5.1674958364367795E-3</v>
      </c>
      <c r="AL26" s="38">
        <v>8.7905722115837765E-3</v>
      </c>
      <c r="AM26" s="38">
        <v>1.1098957855266383E-2</v>
      </c>
      <c r="AN26" s="38">
        <v>1.8797313476233545E-2</v>
      </c>
      <c r="AO26" s="64">
        <v>1.454475818927681</v>
      </c>
      <c r="AP26" s="65">
        <v>0.68894389611908169</v>
      </c>
    </row>
    <row r="27" spans="1:42">
      <c r="A27" s="10">
        <v>22</v>
      </c>
      <c r="B27" s="10" t="s">
        <v>113</v>
      </c>
      <c r="C27" s="12" t="s">
        <v>188</v>
      </c>
      <c r="D27" s="38">
        <v>3.1453265188998103E-2</v>
      </c>
      <c r="E27" s="38">
        <v>3.5250906208127764E-2</v>
      </c>
      <c r="F27" s="38">
        <v>3.947240845800018E-2</v>
      </c>
      <c r="G27" s="38">
        <v>4.6109933658919695E-2</v>
      </c>
      <c r="H27" s="38">
        <v>5.4861079870177847E-2</v>
      </c>
      <c r="I27" s="38">
        <v>4.424414822962501E-2</v>
      </c>
      <c r="J27" s="38">
        <v>4.0713447681150275E-2</v>
      </c>
      <c r="K27" s="38">
        <v>5.4556732703343686E-2</v>
      </c>
      <c r="L27" s="38">
        <v>8.1836767099061028E-2</v>
      </c>
      <c r="M27" s="38">
        <v>0.12706645174456468</v>
      </c>
      <c r="N27" s="38">
        <v>9.3361424064481807E-2</v>
      </c>
      <c r="O27" s="38">
        <v>6.0811393357580998E-2</v>
      </c>
      <c r="P27" s="38">
        <v>4.6634975120440375E-2</v>
      </c>
      <c r="Q27" s="38">
        <v>4.0242132770966589E-2</v>
      </c>
      <c r="R27" s="38">
        <v>4.9001886384963902E-2</v>
      </c>
      <c r="S27" s="38">
        <v>7.4655770175002786E-2</v>
      </c>
      <c r="T27" s="38">
        <v>4.805816410667646E-2</v>
      </c>
      <c r="U27" s="38">
        <v>4.5873270844258629E-2</v>
      </c>
      <c r="V27" s="38">
        <v>5.8353663827168833E-2</v>
      </c>
      <c r="W27" s="38">
        <v>4.2641919508321018E-2</v>
      </c>
      <c r="X27" s="38">
        <v>2.6446623682202929E-2</v>
      </c>
      <c r="Y27" s="38">
        <v>1.1604390678301839</v>
      </c>
      <c r="Z27" s="38">
        <v>8.144109933931834E-2</v>
      </c>
      <c r="AA27" s="38">
        <v>8.754995553945974E-2</v>
      </c>
      <c r="AB27" s="38">
        <v>3.6083011654026796E-2</v>
      </c>
      <c r="AC27" s="38">
        <v>1.3214594414339852E-2</v>
      </c>
      <c r="AD27" s="38">
        <v>6.2394456294348807E-3</v>
      </c>
      <c r="AE27" s="38">
        <v>2.5084642250339056E-2</v>
      </c>
      <c r="AF27" s="38">
        <v>1.9344683254434183E-2</v>
      </c>
      <c r="AG27" s="38">
        <v>2.0394128564930992E-2</v>
      </c>
      <c r="AH27" s="38">
        <v>2.5924598521875758E-2</v>
      </c>
      <c r="AI27" s="38">
        <v>2.7996392006712532E-2</v>
      </c>
      <c r="AJ27" s="38">
        <v>1.5055982523546556E-2</v>
      </c>
      <c r="AK27" s="38">
        <v>1.709622397640943E-2</v>
      </c>
      <c r="AL27" s="38">
        <v>5.1060968724262648E-2</v>
      </c>
      <c r="AM27" s="38">
        <v>4.7343358400180467E-2</v>
      </c>
      <c r="AN27" s="38">
        <v>1.2415911168140335E-2</v>
      </c>
      <c r="AO27" s="64">
        <v>2.7883304284816282</v>
      </c>
      <c r="AP27" s="65">
        <v>1.3207529503527875</v>
      </c>
    </row>
    <row r="28" spans="1:42">
      <c r="A28" s="10">
        <v>23</v>
      </c>
      <c r="B28" s="10" t="s">
        <v>115</v>
      </c>
      <c r="C28" s="12" t="s">
        <v>0</v>
      </c>
      <c r="D28" s="38">
        <v>2.7553039061497518E-3</v>
      </c>
      <c r="E28" s="38">
        <v>4.65026499499154E-3</v>
      </c>
      <c r="F28" s="38">
        <v>4.4749824660256007E-3</v>
      </c>
      <c r="G28" s="38">
        <v>3.3842863605265039E-3</v>
      </c>
      <c r="H28" s="38">
        <v>2.9290613608609797E-3</v>
      </c>
      <c r="I28" s="38">
        <v>5.0652576655752105E-3</v>
      </c>
      <c r="J28" s="38">
        <v>2.6050742161172588E-3</v>
      </c>
      <c r="K28" s="38">
        <v>2.7018884323602799E-3</v>
      </c>
      <c r="L28" s="38">
        <v>3.0025967816074113E-3</v>
      </c>
      <c r="M28" s="38">
        <v>1.9144031630684078E-3</v>
      </c>
      <c r="N28" s="38">
        <v>3.0494018882658768E-3</v>
      </c>
      <c r="O28" s="38">
        <v>1.879041016069518E-3</v>
      </c>
      <c r="P28" s="38">
        <v>2.1574060228853808E-3</v>
      </c>
      <c r="Q28" s="38">
        <v>1.8822034934370458E-3</v>
      </c>
      <c r="R28" s="38">
        <v>2.3268284001865193E-3</v>
      </c>
      <c r="S28" s="38">
        <v>3.7194353567094537E-3</v>
      </c>
      <c r="T28" s="38">
        <v>2.4668831513759322E-3</v>
      </c>
      <c r="U28" s="38">
        <v>2.6893010883568282E-3</v>
      </c>
      <c r="V28" s="38">
        <v>2.2720482120300485E-3</v>
      </c>
      <c r="W28" s="38">
        <v>2.9888111805467018E-3</v>
      </c>
      <c r="X28" s="38">
        <v>2.7620333110982011E-3</v>
      </c>
      <c r="Y28" s="38">
        <v>2.5250795363947931E-3</v>
      </c>
      <c r="Z28" s="38">
        <v>1.0926907695891137</v>
      </c>
      <c r="AA28" s="38">
        <v>1.0780480780745248E-2</v>
      </c>
      <c r="AB28" s="38">
        <v>4.3321127320307407E-3</v>
      </c>
      <c r="AC28" s="38">
        <v>2.6487717041460456E-3</v>
      </c>
      <c r="AD28" s="38">
        <v>8.5018942197407103E-4</v>
      </c>
      <c r="AE28" s="38">
        <v>8.9493831571510266E-3</v>
      </c>
      <c r="AF28" s="38">
        <v>5.1077044643460818E-3</v>
      </c>
      <c r="AG28" s="38">
        <v>5.7173292516264143E-3</v>
      </c>
      <c r="AH28" s="38">
        <v>1.0267796657067285E-2</v>
      </c>
      <c r="AI28" s="38">
        <v>7.1511600000735602E-3</v>
      </c>
      <c r="AJ28" s="38">
        <v>3.9110016961307614E-3</v>
      </c>
      <c r="AK28" s="38">
        <v>2.2121299482546278E-3</v>
      </c>
      <c r="AL28" s="38">
        <v>1.2633127847065349E-2</v>
      </c>
      <c r="AM28" s="38">
        <v>3.6722480121364693E-3</v>
      </c>
      <c r="AN28" s="38">
        <v>2.7032896075169024E-3</v>
      </c>
      <c r="AO28" s="64">
        <v>1.2378290868740178</v>
      </c>
      <c r="AP28" s="65">
        <v>0.58632449074969006</v>
      </c>
    </row>
    <row r="29" spans="1:42">
      <c r="A29" s="10">
        <v>24</v>
      </c>
      <c r="B29" s="10" t="s">
        <v>116</v>
      </c>
      <c r="C29" s="12" t="s">
        <v>1</v>
      </c>
      <c r="D29" s="38">
        <v>2.9229251630343597E-3</v>
      </c>
      <c r="E29" s="38">
        <v>5.9236166835443067E-3</v>
      </c>
      <c r="F29" s="38">
        <v>4.4361452519109451E-3</v>
      </c>
      <c r="G29" s="38">
        <v>3.0557575959633326E-3</v>
      </c>
      <c r="H29" s="38">
        <v>3.4128992924164305E-3</v>
      </c>
      <c r="I29" s="38">
        <v>6.8068902758680345E-3</v>
      </c>
      <c r="J29" s="38">
        <v>2.7540660059523748E-3</v>
      </c>
      <c r="K29" s="38">
        <v>2.6432910521593349E-3</v>
      </c>
      <c r="L29" s="38">
        <v>6.1149052783727453E-3</v>
      </c>
      <c r="M29" s="38">
        <v>2.1832018831618558E-3</v>
      </c>
      <c r="N29" s="38">
        <v>3.5647905979721887E-3</v>
      </c>
      <c r="O29" s="38">
        <v>1.9185716413566089E-3</v>
      </c>
      <c r="P29" s="38">
        <v>2.1926490103744032E-3</v>
      </c>
      <c r="Q29" s="38">
        <v>1.706934696771432E-3</v>
      </c>
      <c r="R29" s="38">
        <v>2.5686952322524887E-3</v>
      </c>
      <c r="S29" s="38">
        <v>3.5506463987427963E-3</v>
      </c>
      <c r="T29" s="38">
        <v>2.5224735923602411E-3</v>
      </c>
      <c r="U29" s="38">
        <v>2.9673983549440633E-3</v>
      </c>
      <c r="V29" s="38">
        <v>2.2624992725761169E-3</v>
      </c>
      <c r="W29" s="38">
        <v>3.005934417299844E-3</v>
      </c>
      <c r="X29" s="38">
        <v>5.3304840510818539E-3</v>
      </c>
      <c r="Y29" s="38">
        <v>3.4911271427150335E-3</v>
      </c>
      <c r="Z29" s="38">
        <v>5.7747750703188655E-3</v>
      </c>
      <c r="AA29" s="38">
        <v>1.0021669499301586</v>
      </c>
      <c r="AB29" s="38">
        <v>3.5480782077903805E-3</v>
      </c>
      <c r="AC29" s="38">
        <v>7.0119957845567876E-3</v>
      </c>
      <c r="AD29" s="38">
        <v>8.8254419404370252E-4</v>
      </c>
      <c r="AE29" s="38">
        <v>9.3897163500205692E-3</v>
      </c>
      <c r="AF29" s="38">
        <v>1.2182463640664843E-2</v>
      </c>
      <c r="AG29" s="38">
        <v>3.7787189416359987E-2</v>
      </c>
      <c r="AH29" s="38">
        <v>9.9308513475309702E-3</v>
      </c>
      <c r="AI29" s="38">
        <v>7.9547808997860181E-3</v>
      </c>
      <c r="AJ29" s="38">
        <v>2.5689063716864986E-3</v>
      </c>
      <c r="AK29" s="38">
        <v>4.0007102840374422E-3</v>
      </c>
      <c r="AL29" s="38">
        <v>2.8803385155116261E-2</v>
      </c>
      <c r="AM29" s="38">
        <v>3.755288504247091E-3</v>
      </c>
      <c r="AN29" s="38">
        <v>1.8184851892538687E-2</v>
      </c>
      <c r="AO29" s="64">
        <v>1.2292783899396871</v>
      </c>
      <c r="AP29" s="65">
        <v>0.58227426840579821</v>
      </c>
    </row>
    <row r="30" spans="1:42">
      <c r="A30" s="10">
        <v>25</v>
      </c>
      <c r="B30" s="10" t="s">
        <v>117</v>
      </c>
      <c r="C30" s="12" t="s">
        <v>67</v>
      </c>
      <c r="D30" s="38">
        <v>0.10190847199021663</v>
      </c>
      <c r="E30" s="38">
        <v>4.7065322958712678E-2</v>
      </c>
      <c r="F30" s="38">
        <v>0.12970770189373493</v>
      </c>
      <c r="G30" s="38">
        <v>0.14224765894273173</v>
      </c>
      <c r="H30" s="38">
        <v>0.13248761079442076</v>
      </c>
      <c r="I30" s="38">
        <v>9.7488506487579563E-2</v>
      </c>
      <c r="J30" s="38">
        <v>5.1239130921217332E-2</v>
      </c>
      <c r="K30" s="38">
        <v>0.10610428669895938</v>
      </c>
      <c r="L30" s="38">
        <v>7.2935118669478091E-2</v>
      </c>
      <c r="M30" s="38">
        <v>7.5746727998310434E-2</v>
      </c>
      <c r="N30" s="38">
        <v>0.1107189982753948</v>
      </c>
      <c r="O30" s="38">
        <v>6.2025432633272065E-2</v>
      </c>
      <c r="P30" s="38">
        <v>6.9950117081592184E-2</v>
      </c>
      <c r="Q30" s="38">
        <v>7.3306627519034412E-2</v>
      </c>
      <c r="R30" s="38">
        <v>9.6937930957884375E-2</v>
      </c>
      <c r="S30" s="38">
        <v>9.627781978809026E-2</v>
      </c>
      <c r="T30" s="38">
        <v>0.10113816021539486</v>
      </c>
      <c r="U30" s="38">
        <v>0.10485369745879926</v>
      </c>
      <c r="V30" s="38">
        <v>0.11596016032649861</v>
      </c>
      <c r="W30" s="38">
        <v>0.12039912605542172</v>
      </c>
      <c r="X30" s="38">
        <v>8.154075477860942E-2</v>
      </c>
      <c r="Y30" s="38">
        <v>2.03324800423226E-2</v>
      </c>
      <c r="Z30" s="38">
        <v>4.9159114913114539E-2</v>
      </c>
      <c r="AA30" s="38">
        <v>3.7209998395111514E-2</v>
      </c>
      <c r="AB30" s="38">
        <v>1.0249199566717337</v>
      </c>
      <c r="AC30" s="38">
        <v>2.2060625304656484E-2</v>
      </c>
      <c r="AD30" s="38">
        <v>5.8248138575557476E-3</v>
      </c>
      <c r="AE30" s="38">
        <v>6.6334113305934458E-2</v>
      </c>
      <c r="AF30" s="38">
        <v>3.1657672140723771E-2</v>
      </c>
      <c r="AG30" s="38">
        <v>2.3681418312795927E-2</v>
      </c>
      <c r="AH30" s="38">
        <v>3.7164743772644775E-2</v>
      </c>
      <c r="AI30" s="38">
        <v>6.9997161175349251E-2</v>
      </c>
      <c r="AJ30" s="38">
        <v>6.0594035636815029E-2</v>
      </c>
      <c r="AK30" s="38">
        <v>4.3595861092621341E-2</v>
      </c>
      <c r="AL30" s="38">
        <v>9.5557941010762412E-2</v>
      </c>
      <c r="AM30" s="38">
        <v>0.33622586566638518</v>
      </c>
      <c r="AN30" s="38">
        <v>1.8532748052083655E-2</v>
      </c>
      <c r="AO30" s="64">
        <v>3.9328879117959636</v>
      </c>
      <c r="AP30" s="65">
        <v>1.8628973309092005</v>
      </c>
    </row>
    <row r="31" spans="1:42">
      <c r="A31" s="10">
        <v>26</v>
      </c>
      <c r="B31" s="10" t="s">
        <v>118</v>
      </c>
      <c r="C31" s="12" t="s">
        <v>68</v>
      </c>
      <c r="D31" s="38">
        <v>2.359908867913442E-2</v>
      </c>
      <c r="E31" s="38">
        <v>9.0593492248395843E-2</v>
      </c>
      <c r="F31" s="38">
        <v>2.5907109886260729E-2</v>
      </c>
      <c r="G31" s="38">
        <v>3.9956543000539919E-2</v>
      </c>
      <c r="H31" s="38">
        <v>3.0432436068590547E-2</v>
      </c>
      <c r="I31" s="38">
        <v>2.9247688686126629E-2</v>
      </c>
      <c r="J31" s="38">
        <v>2.0271310263701107E-2</v>
      </c>
      <c r="K31" s="38">
        <v>2.1091886808635475E-2</v>
      </c>
      <c r="L31" s="38">
        <v>3.3318488991674632E-2</v>
      </c>
      <c r="M31" s="38">
        <v>2.8266356554562392E-2</v>
      </c>
      <c r="N31" s="38">
        <v>5.255628769955796E-2</v>
      </c>
      <c r="O31" s="38">
        <v>2.8339176692465121E-2</v>
      </c>
      <c r="P31" s="38">
        <v>2.2242942196960328E-2</v>
      </c>
      <c r="Q31" s="38">
        <v>2.291609598760011E-2</v>
      </c>
      <c r="R31" s="38">
        <v>3.3756374857293235E-2</v>
      </c>
      <c r="S31" s="38">
        <v>2.933499747959134E-2</v>
      </c>
      <c r="T31" s="38">
        <v>2.7703186260144671E-2</v>
      </c>
      <c r="U31" s="38">
        <v>2.6736289611101072E-2</v>
      </c>
      <c r="V31" s="38">
        <v>2.8208195643064506E-2</v>
      </c>
      <c r="W31" s="38">
        <v>4.2848621342981646E-2</v>
      </c>
      <c r="X31" s="38">
        <v>2.8876759154971648E-2</v>
      </c>
      <c r="Y31" s="38">
        <v>4.7531909704812782E-2</v>
      </c>
      <c r="Z31" s="38">
        <v>3.7470957878231369E-2</v>
      </c>
      <c r="AA31" s="38">
        <v>4.3218461869326839E-2</v>
      </c>
      <c r="AB31" s="38">
        <v>3.2629486712721041E-2</v>
      </c>
      <c r="AC31" s="38">
        <v>1.0960317048349333</v>
      </c>
      <c r="AD31" s="38">
        <v>8.8652195951734875E-2</v>
      </c>
      <c r="AE31" s="38">
        <v>4.8217503784146361E-2</v>
      </c>
      <c r="AF31" s="38">
        <v>2.2040836332334762E-2</v>
      </c>
      <c r="AG31" s="38">
        <v>2.4772454863972903E-2</v>
      </c>
      <c r="AH31" s="38">
        <v>2.0611254154696335E-2</v>
      </c>
      <c r="AI31" s="38">
        <v>2.2311722771843689E-2</v>
      </c>
      <c r="AJ31" s="38">
        <v>4.0100294258007457E-2</v>
      </c>
      <c r="AK31" s="38">
        <v>2.3738689925101947E-2</v>
      </c>
      <c r="AL31" s="38">
        <v>3.3441757219537994E-2</v>
      </c>
      <c r="AM31" s="38">
        <v>3.3489608782313496E-2</v>
      </c>
      <c r="AN31" s="38">
        <v>4.8703454954882319E-2</v>
      </c>
      <c r="AO31" s="64">
        <v>2.3491656221119506</v>
      </c>
      <c r="AP31" s="65">
        <v>1.1127330514989369</v>
      </c>
    </row>
    <row r="32" spans="1:42">
      <c r="A32" s="10">
        <v>27</v>
      </c>
      <c r="B32" s="10" t="s">
        <v>119</v>
      </c>
      <c r="C32" s="12" t="s">
        <v>120</v>
      </c>
      <c r="D32" s="38">
        <v>1.338042076864385E-2</v>
      </c>
      <c r="E32" s="38">
        <v>2.5722342323539184E-2</v>
      </c>
      <c r="F32" s="38">
        <v>1.7917066976988638E-2</v>
      </c>
      <c r="G32" s="38">
        <v>2.0348946035069513E-2</v>
      </c>
      <c r="H32" s="38">
        <v>1.6004901367901708E-2</v>
      </c>
      <c r="I32" s="38">
        <v>1.8701904675520853E-2</v>
      </c>
      <c r="J32" s="38">
        <v>1.3241130150213196E-2</v>
      </c>
      <c r="K32" s="38">
        <v>1.7149299703401514E-2</v>
      </c>
      <c r="L32" s="38">
        <v>1.7899600813411597E-2</v>
      </c>
      <c r="M32" s="38">
        <v>1.4133907456657107E-2</v>
      </c>
      <c r="N32" s="38">
        <v>1.9767623667151433E-2</v>
      </c>
      <c r="O32" s="38">
        <v>1.5465447878646725E-2</v>
      </c>
      <c r="P32" s="38">
        <v>1.4326018665982262E-2</v>
      </c>
      <c r="Q32" s="38">
        <v>1.2748888895322399E-2</v>
      </c>
      <c r="R32" s="38">
        <v>1.563522068868237E-2</v>
      </c>
      <c r="S32" s="38">
        <v>1.4935228733649657E-2</v>
      </c>
      <c r="T32" s="38">
        <v>1.5479181239029489E-2</v>
      </c>
      <c r="U32" s="38">
        <v>1.5721430714568371E-2</v>
      </c>
      <c r="V32" s="38">
        <v>1.4056861535756455E-2</v>
      </c>
      <c r="W32" s="38">
        <v>1.7981035167056694E-2</v>
      </c>
      <c r="X32" s="38">
        <v>1.7288040290188995E-2</v>
      </c>
      <c r="Y32" s="38">
        <v>2.3875870719531903E-2</v>
      </c>
      <c r="Z32" s="38">
        <v>1.3781371617846079E-2</v>
      </c>
      <c r="AA32" s="38">
        <v>1.1401097783454319E-2</v>
      </c>
      <c r="AB32" s="38">
        <v>4.5772628516474664E-2</v>
      </c>
      <c r="AC32" s="38">
        <v>2.874326623863593E-2</v>
      </c>
      <c r="AD32" s="38">
        <v>1.0424213426811277</v>
      </c>
      <c r="AE32" s="38">
        <v>3.6003897215039639E-2</v>
      </c>
      <c r="AF32" s="38">
        <v>3.520850477536356E-2</v>
      </c>
      <c r="AG32" s="38">
        <v>9.936384310992365E-3</v>
      </c>
      <c r="AH32" s="38">
        <v>1.7667579425469107E-2</v>
      </c>
      <c r="AI32" s="38">
        <v>2.7061892616249018E-2</v>
      </c>
      <c r="AJ32" s="38">
        <v>2.8645997685677865E-2</v>
      </c>
      <c r="AK32" s="38">
        <v>2.1291657093577717E-2</v>
      </c>
      <c r="AL32" s="38">
        <v>4.7395847401928051E-2</v>
      </c>
      <c r="AM32" s="38">
        <v>2.4741202257372242E-2</v>
      </c>
      <c r="AN32" s="38">
        <v>2.7386753905699047E-2</v>
      </c>
      <c r="AO32" s="64">
        <v>1.7892397919918213</v>
      </c>
      <c r="AP32" s="65">
        <v>0.84751208465943695</v>
      </c>
    </row>
    <row r="33" spans="1:42">
      <c r="A33" s="10">
        <v>28</v>
      </c>
      <c r="B33" s="10" t="s">
        <v>121</v>
      </c>
      <c r="C33" s="12" t="s">
        <v>189</v>
      </c>
      <c r="D33" s="38">
        <v>0.16374534940570193</v>
      </c>
      <c r="E33" s="38">
        <v>0.4667257960670666</v>
      </c>
      <c r="F33" s="38">
        <v>0.11681436775468244</v>
      </c>
      <c r="G33" s="38">
        <v>8.5573849823940853E-2</v>
      </c>
      <c r="H33" s="38">
        <v>0.11545793842292304</v>
      </c>
      <c r="I33" s="38">
        <v>7.3958447454253506E-2</v>
      </c>
      <c r="J33" s="38">
        <v>0.15231959481414331</v>
      </c>
      <c r="K33" s="38">
        <v>5.9112913362098021E-2</v>
      </c>
      <c r="L33" s="38">
        <v>0.14627483744193207</v>
      </c>
      <c r="M33" s="38">
        <v>0.10429010615508558</v>
      </c>
      <c r="N33" s="38">
        <v>0.14774431750582215</v>
      </c>
      <c r="O33" s="38">
        <v>8.121480722287204E-2</v>
      </c>
      <c r="P33" s="38">
        <v>6.6369197857063369E-2</v>
      </c>
      <c r="Q33" s="38">
        <v>6.3072389426056183E-2</v>
      </c>
      <c r="R33" s="38">
        <v>8.4828396103210107E-2</v>
      </c>
      <c r="S33" s="38">
        <v>7.2423060323732774E-2</v>
      </c>
      <c r="T33" s="38">
        <v>7.1970847433074733E-2</v>
      </c>
      <c r="U33" s="38">
        <v>7.4031572124784964E-2</v>
      </c>
      <c r="V33" s="38">
        <v>7.3920775357258758E-2</v>
      </c>
      <c r="W33" s="38">
        <v>0.14955392992934502</v>
      </c>
      <c r="X33" s="38">
        <v>0.10034149779323787</v>
      </c>
      <c r="Y33" s="38">
        <v>6.0332558539373228E-2</v>
      </c>
      <c r="Z33" s="38">
        <v>6.7792500293608143E-2</v>
      </c>
      <c r="AA33" s="38">
        <v>0.11880205946617027</v>
      </c>
      <c r="AB33" s="38">
        <v>8.8030742233777035E-2</v>
      </c>
      <c r="AC33" s="38">
        <v>6.2993692640627E-2</v>
      </c>
      <c r="AD33" s="38">
        <v>1.1831255439316027E-2</v>
      </c>
      <c r="AE33" s="38">
        <v>1.1245134828169168</v>
      </c>
      <c r="AF33" s="38">
        <v>5.9614951271681038E-2</v>
      </c>
      <c r="AG33" s="38">
        <v>6.0000884051777038E-2</v>
      </c>
      <c r="AH33" s="38">
        <v>5.922449727034941E-2</v>
      </c>
      <c r="AI33" s="38">
        <v>4.9781831761542279E-2</v>
      </c>
      <c r="AJ33" s="38">
        <v>7.749508720581566E-2</v>
      </c>
      <c r="AK33" s="38">
        <v>4.4409718309565194E-2</v>
      </c>
      <c r="AL33" s="38">
        <v>0.10110229530243478</v>
      </c>
      <c r="AM33" s="38">
        <v>0.1698994997568605</v>
      </c>
      <c r="AN33" s="38">
        <v>8.070263945594848E-2</v>
      </c>
      <c r="AO33" s="64">
        <v>4.7062716875940493</v>
      </c>
      <c r="AP33" s="65">
        <v>2.2292272655563381</v>
      </c>
    </row>
    <row r="34" spans="1:42">
      <c r="A34" s="10">
        <v>29</v>
      </c>
      <c r="B34" s="10" t="s">
        <v>123</v>
      </c>
      <c r="C34" s="12" t="s">
        <v>190</v>
      </c>
      <c r="D34" s="38">
        <v>2.8736559387006397E-2</v>
      </c>
      <c r="E34" s="38">
        <v>3.5230820565468286E-2</v>
      </c>
      <c r="F34" s="38">
        <v>3.6090172945780652E-2</v>
      </c>
      <c r="G34" s="38">
        <v>3.5741279179016781E-2</v>
      </c>
      <c r="H34" s="38">
        <v>2.9676614749973941E-2</v>
      </c>
      <c r="I34" s="38">
        <v>5.3106673987190406E-2</v>
      </c>
      <c r="J34" s="38">
        <v>2.6609727576687496E-2</v>
      </c>
      <c r="K34" s="38">
        <v>3.2846231944909543E-2</v>
      </c>
      <c r="L34" s="38">
        <v>3.5192526889260674E-2</v>
      </c>
      <c r="M34" s="38">
        <v>3.017985132962198E-2</v>
      </c>
      <c r="N34" s="38">
        <v>3.6593418104760085E-2</v>
      </c>
      <c r="O34" s="38">
        <v>3.1509631690306232E-2</v>
      </c>
      <c r="P34" s="38">
        <v>3.1852237162091041E-2</v>
      </c>
      <c r="Q34" s="38">
        <v>3.3083296079680607E-2</v>
      </c>
      <c r="R34" s="38">
        <v>3.3497605492665526E-2</v>
      </c>
      <c r="S34" s="38">
        <v>3.7559800784746598E-2</v>
      </c>
      <c r="T34" s="38">
        <v>4.226627007005785E-2</v>
      </c>
      <c r="U34" s="38">
        <v>5.7359859109885107E-2</v>
      </c>
      <c r="V34" s="38">
        <v>3.1801844454327224E-2</v>
      </c>
      <c r="W34" s="38">
        <v>3.3111480093085836E-2</v>
      </c>
      <c r="X34" s="38">
        <v>3.8396058387138568E-2</v>
      </c>
      <c r="Y34" s="38">
        <v>5.0315921942554742E-2</v>
      </c>
      <c r="Z34" s="38">
        <v>8.4322593032698109E-2</v>
      </c>
      <c r="AA34" s="38">
        <v>3.4145718595229281E-2</v>
      </c>
      <c r="AB34" s="38">
        <v>7.0323894767892178E-2</v>
      </c>
      <c r="AC34" s="38">
        <v>9.7256492094508484E-2</v>
      </c>
      <c r="AD34" s="38">
        <v>1.381562140105439E-2</v>
      </c>
      <c r="AE34" s="38">
        <v>4.5174371111545292E-2</v>
      </c>
      <c r="AF34" s="38">
        <v>1.2738886639192848</v>
      </c>
      <c r="AG34" s="38">
        <v>5.0439680120223186E-2</v>
      </c>
      <c r="AH34" s="38">
        <v>6.0181713968343278E-2</v>
      </c>
      <c r="AI34" s="38">
        <v>3.8142505572415733E-2</v>
      </c>
      <c r="AJ34" s="38">
        <v>0.10220314065748293</v>
      </c>
      <c r="AK34" s="38">
        <v>9.6726358595014897E-2</v>
      </c>
      <c r="AL34" s="38">
        <v>5.3374042824294893E-2</v>
      </c>
      <c r="AM34" s="38">
        <v>4.1667534790962205E-2</v>
      </c>
      <c r="AN34" s="38">
        <v>7.2212731889792839E-2</v>
      </c>
      <c r="AO34" s="64">
        <v>2.9346329452669577</v>
      </c>
      <c r="AP34" s="65">
        <v>1.3900522983477395</v>
      </c>
    </row>
    <row r="35" spans="1:42">
      <c r="A35" s="10">
        <v>30</v>
      </c>
      <c r="B35" s="10" t="s">
        <v>125</v>
      </c>
      <c r="C35" s="12" t="s">
        <v>69</v>
      </c>
      <c r="D35" s="38">
        <v>1.2532084305148408E-3</v>
      </c>
      <c r="E35" s="38">
        <v>1.0809133935765756E-3</v>
      </c>
      <c r="F35" s="38">
        <v>9.2243427264072561E-4</v>
      </c>
      <c r="G35" s="38">
        <v>7.2331874555611687E-4</v>
      </c>
      <c r="H35" s="38">
        <v>7.9815291643847513E-4</v>
      </c>
      <c r="I35" s="38">
        <v>5.2808916998884118E-4</v>
      </c>
      <c r="J35" s="38">
        <v>2.9511367567078548E-3</v>
      </c>
      <c r="K35" s="38">
        <v>5.3546985792939615E-4</v>
      </c>
      <c r="L35" s="38">
        <v>1.7813783276522123E-3</v>
      </c>
      <c r="M35" s="38">
        <v>2.1504934693598494E-3</v>
      </c>
      <c r="N35" s="38">
        <v>1.4594066059218009E-3</v>
      </c>
      <c r="O35" s="38">
        <v>1.1935007296640053E-3</v>
      </c>
      <c r="P35" s="38">
        <v>1.4487383000146147E-3</v>
      </c>
      <c r="Q35" s="38">
        <v>1.2278067331886044E-3</v>
      </c>
      <c r="R35" s="38">
        <v>8.3957039862805481E-4</v>
      </c>
      <c r="S35" s="38">
        <v>6.7307018077409253E-4</v>
      </c>
      <c r="T35" s="38">
        <v>7.4365771959020784E-4</v>
      </c>
      <c r="U35" s="38">
        <v>6.6301215211481775E-4</v>
      </c>
      <c r="V35" s="38">
        <v>7.6497440117620475E-4</v>
      </c>
      <c r="W35" s="38">
        <v>6.449988506828547E-4</v>
      </c>
      <c r="X35" s="38">
        <v>1.9764604414862054E-3</v>
      </c>
      <c r="Y35" s="38">
        <v>7.0875004142649013E-4</v>
      </c>
      <c r="Z35" s="38">
        <v>1.3084567008659401E-3</v>
      </c>
      <c r="AA35" s="38">
        <v>1.0997851116694795E-3</v>
      </c>
      <c r="AB35" s="38">
        <v>6.9282097568018478E-4</v>
      </c>
      <c r="AC35" s="38">
        <v>1.3833409932934003E-3</v>
      </c>
      <c r="AD35" s="38">
        <v>4.4077577724885503E-4</v>
      </c>
      <c r="AE35" s="38">
        <v>8.8347605845376593E-4</v>
      </c>
      <c r="AF35" s="38">
        <v>8.4936044292121822E-4</v>
      </c>
      <c r="AG35" s="38">
        <v>1.0002918106598113</v>
      </c>
      <c r="AH35" s="38">
        <v>9.3693029668532267E-4</v>
      </c>
      <c r="AI35" s="38">
        <v>6.2592149160499465E-4</v>
      </c>
      <c r="AJ35" s="38">
        <v>1.6264634031793207E-3</v>
      </c>
      <c r="AK35" s="38">
        <v>7.7423306464815688E-4</v>
      </c>
      <c r="AL35" s="38">
        <v>1.1285794889503303E-3</v>
      </c>
      <c r="AM35" s="38">
        <v>7.9323434693786058E-4</v>
      </c>
      <c r="AN35" s="38">
        <v>0.10180224536135585</v>
      </c>
      <c r="AO35" s="64">
        <v>1.1397059760683388</v>
      </c>
      <c r="AP35" s="65">
        <v>0.53984635933075165</v>
      </c>
    </row>
    <row r="36" spans="1:42">
      <c r="A36" s="10">
        <v>31</v>
      </c>
      <c r="B36" s="10" t="s">
        <v>126</v>
      </c>
      <c r="C36" s="12" t="s">
        <v>127</v>
      </c>
      <c r="D36" s="38">
        <v>5.1883232412198088E-4</v>
      </c>
      <c r="E36" s="38">
        <v>7.2288703981259785E-4</v>
      </c>
      <c r="F36" s="38">
        <v>9.4897177487194672E-4</v>
      </c>
      <c r="G36" s="38">
        <v>5.1556491079309192E-4</v>
      </c>
      <c r="H36" s="38">
        <v>5.7197121703419682E-4</v>
      </c>
      <c r="I36" s="38">
        <v>1.006270146174741E-3</v>
      </c>
      <c r="J36" s="38">
        <v>4.9281969546192321E-4</v>
      </c>
      <c r="K36" s="38">
        <v>7.4589874416905661E-4</v>
      </c>
      <c r="L36" s="38">
        <v>1.0586958915156533E-3</v>
      </c>
      <c r="M36" s="38">
        <v>1.0472999694695383E-3</v>
      </c>
      <c r="N36" s="38">
        <v>7.8204851647965476E-4</v>
      </c>
      <c r="O36" s="38">
        <v>1.2029717957254692E-3</v>
      </c>
      <c r="P36" s="38">
        <v>1.4019519314552792E-3</v>
      </c>
      <c r="Q36" s="38">
        <v>1.043673713891578E-3</v>
      </c>
      <c r="R36" s="38">
        <v>1.2096946741807859E-3</v>
      </c>
      <c r="S36" s="38">
        <v>2.87390049295778E-3</v>
      </c>
      <c r="T36" s="38">
        <v>2.5786212191383014E-3</v>
      </c>
      <c r="U36" s="38">
        <v>3.6259953232956389E-3</v>
      </c>
      <c r="V36" s="38">
        <v>1.3147519904264196E-3</v>
      </c>
      <c r="W36" s="38">
        <v>7.8518887556490381E-4</v>
      </c>
      <c r="X36" s="38">
        <v>8.0651343827319629E-4</v>
      </c>
      <c r="Y36" s="38">
        <v>1.6950035574822071E-3</v>
      </c>
      <c r="Z36" s="38">
        <v>9.6697049254042386E-4</v>
      </c>
      <c r="AA36" s="38">
        <v>7.4145970768022711E-4</v>
      </c>
      <c r="AB36" s="38">
        <v>8.1869985802402519E-4</v>
      </c>
      <c r="AC36" s="38">
        <v>9.4399074899811409E-4</v>
      </c>
      <c r="AD36" s="38">
        <v>1.5051584404605336E-4</v>
      </c>
      <c r="AE36" s="38">
        <v>1.2510685877972177E-3</v>
      </c>
      <c r="AF36" s="38">
        <v>6.779327598850424E-3</v>
      </c>
      <c r="AG36" s="38">
        <v>5.3935966447978272E-4</v>
      </c>
      <c r="AH36" s="38">
        <v>1.0005455543617134</v>
      </c>
      <c r="AI36" s="38">
        <v>5.6090537017953828E-4</v>
      </c>
      <c r="AJ36" s="38">
        <v>7.7551526287554745E-4</v>
      </c>
      <c r="AK36" s="38">
        <v>1.2952014266696479E-3</v>
      </c>
      <c r="AL36" s="38">
        <v>1.1331525920360015E-3</v>
      </c>
      <c r="AM36" s="38">
        <v>8.0419182683289262E-4</v>
      </c>
      <c r="AN36" s="38">
        <v>3.0095756568355833E-3</v>
      </c>
      <c r="AO36" s="64">
        <v>1.0472650162418546</v>
      </c>
      <c r="AP36" s="65">
        <v>0.49605970148806661</v>
      </c>
    </row>
    <row r="37" spans="1:42">
      <c r="A37" s="10">
        <v>32</v>
      </c>
      <c r="B37" s="10" t="s">
        <v>128</v>
      </c>
      <c r="C37" s="12" t="s">
        <v>191</v>
      </c>
      <c r="D37" s="38">
        <v>3.9220704291254406E-5</v>
      </c>
      <c r="E37" s="38">
        <v>9.6458867458718074E-5</v>
      </c>
      <c r="F37" s="38">
        <v>3.2950303096455501E-5</v>
      </c>
      <c r="G37" s="38">
        <v>2.8675277021498591E-5</v>
      </c>
      <c r="H37" s="38">
        <v>3.1042964263720587E-5</v>
      </c>
      <c r="I37" s="38">
        <v>3.8233037632556107E-5</v>
      </c>
      <c r="J37" s="38">
        <v>3.7032297779678466E-5</v>
      </c>
      <c r="K37" s="38">
        <v>2.2891462657391373E-5</v>
      </c>
      <c r="L37" s="38">
        <v>3.8589016107108044E-5</v>
      </c>
      <c r="M37" s="38">
        <v>2.8889715014167287E-5</v>
      </c>
      <c r="N37" s="38">
        <v>3.9815622654763819E-5</v>
      </c>
      <c r="O37" s="38">
        <v>2.4415412636738163E-5</v>
      </c>
      <c r="P37" s="38">
        <v>2.1939874601657869E-5</v>
      </c>
      <c r="Q37" s="38">
        <v>2.142706307128265E-5</v>
      </c>
      <c r="R37" s="38">
        <v>2.6326407456096568E-5</v>
      </c>
      <c r="S37" s="38">
        <v>2.5097683002894412E-5</v>
      </c>
      <c r="T37" s="38">
        <v>2.5539268747246185E-5</v>
      </c>
      <c r="U37" s="38">
        <v>2.8888618590110154E-5</v>
      </c>
      <c r="V37" s="38">
        <v>2.4110597465375894E-5</v>
      </c>
      <c r="W37" s="38">
        <v>3.8387606148012517E-5</v>
      </c>
      <c r="X37" s="38">
        <v>3.0804415785815308E-5</v>
      </c>
      <c r="Y37" s="38">
        <v>2.661344979911925E-5</v>
      </c>
      <c r="Z37" s="38">
        <v>9.269014034888656E-5</v>
      </c>
      <c r="AA37" s="38">
        <v>3.287683850442763E-5</v>
      </c>
      <c r="AB37" s="38">
        <v>4.2693599388878679E-5</v>
      </c>
      <c r="AC37" s="38">
        <v>8.7185143250850079E-5</v>
      </c>
      <c r="AD37" s="38">
        <v>1.4216489931020747E-5</v>
      </c>
      <c r="AE37" s="38">
        <v>2.1298340185042165E-4</v>
      </c>
      <c r="AF37" s="38">
        <v>2.5533007032649767E-4</v>
      </c>
      <c r="AG37" s="38">
        <v>3.1654722749450063E-5</v>
      </c>
      <c r="AH37" s="38">
        <v>3.6693959730639432E-5</v>
      </c>
      <c r="AI37" s="38">
        <v>1.0115580611789519</v>
      </c>
      <c r="AJ37" s="38">
        <v>3.8748438784282863E-5</v>
      </c>
      <c r="AK37" s="38">
        <v>4.158089562838899E-5</v>
      </c>
      <c r="AL37" s="38">
        <v>1.4845886196153906E-4</v>
      </c>
      <c r="AM37" s="38">
        <v>4.538924403601564E-5</v>
      </c>
      <c r="AN37" s="38">
        <v>9.1293906868433628E-5</v>
      </c>
      <c r="AO37" s="64">
        <v>1.0134572065575933</v>
      </c>
      <c r="AP37" s="65">
        <v>0.48004590200097763</v>
      </c>
    </row>
    <row r="38" spans="1:42">
      <c r="A38" s="10">
        <v>33</v>
      </c>
      <c r="B38" s="10" t="s">
        <v>130</v>
      </c>
      <c r="C38" s="12" t="s">
        <v>192</v>
      </c>
      <c r="D38" s="38">
        <v>6.9550367130186619E-3</v>
      </c>
      <c r="E38" s="38">
        <v>6.9764184665725816E-3</v>
      </c>
      <c r="F38" s="38">
        <v>6.8663071578934348E-3</v>
      </c>
      <c r="G38" s="38">
        <v>5.5851126857749582E-3</v>
      </c>
      <c r="H38" s="38">
        <v>3.4757095284439735E-3</v>
      </c>
      <c r="I38" s="38">
        <v>6.3716844059273454E-3</v>
      </c>
      <c r="J38" s="38">
        <v>3.191669442500991E-3</v>
      </c>
      <c r="K38" s="38">
        <v>3.6404054187292958E-3</v>
      </c>
      <c r="L38" s="38">
        <v>4.5618034681304568E-3</v>
      </c>
      <c r="M38" s="38">
        <v>3.2360033133258369E-3</v>
      </c>
      <c r="N38" s="38">
        <v>7.9268413168383494E-3</v>
      </c>
      <c r="O38" s="38">
        <v>2.6399893141047081E-3</v>
      </c>
      <c r="P38" s="38">
        <v>7.7031482188779261E-3</v>
      </c>
      <c r="Q38" s="38">
        <v>2.9814716745082707E-3</v>
      </c>
      <c r="R38" s="38">
        <v>3.5635142089580642E-3</v>
      </c>
      <c r="S38" s="38">
        <v>3.9703042699031571E-3</v>
      </c>
      <c r="T38" s="38">
        <v>3.6141946246003396E-3</v>
      </c>
      <c r="U38" s="38">
        <v>3.4260667089458679E-3</v>
      </c>
      <c r="V38" s="38">
        <v>2.8955195968215748E-3</v>
      </c>
      <c r="W38" s="38">
        <v>3.8704544735385258E-3</v>
      </c>
      <c r="X38" s="38">
        <v>3.9940972306402485E-3</v>
      </c>
      <c r="Y38" s="38">
        <v>7.5191547057639439E-3</v>
      </c>
      <c r="Z38" s="38">
        <v>2.0609999163205727E-2</v>
      </c>
      <c r="AA38" s="38">
        <v>5.9145044628147085E-3</v>
      </c>
      <c r="AB38" s="38">
        <v>2.906130329346085E-3</v>
      </c>
      <c r="AC38" s="38">
        <v>8.5707024834291677E-3</v>
      </c>
      <c r="AD38" s="38">
        <v>1.2591872143046174E-3</v>
      </c>
      <c r="AE38" s="38">
        <v>5.1064092609275254E-3</v>
      </c>
      <c r="AF38" s="38">
        <v>4.9599481464663421E-3</v>
      </c>
      <c r="AG38" s="38">
        <v>1.5338084005526943E-3</v>
      </c>
      <c r="AH38" s="38">
        <v>5.8269718601949728E-3</v>
      </c>
      <c r="AI38" s="38">
        <v>4.0397546709357865E-3</v>
      </c>
      <c r="AJ38" s="38">
        <v>1.0019136265960484</v>
      </c>
      <c r="AK38" s="38">
        <v>5.7803858713523964E-3</v>
      </c>
      <c r="AL38" s="38">
        <v>7.1818588482550237E-3</v>
      </c>
      <c r="AM38" s="38">
        <v>3.5949042736914453E-3</v>
      </c>
      <c r="AN38" s="38">
        <v>1.9692363137786646E-3</v>
      </c>
      <c r="AO38" s="64">
        <v>1.1861323348391219</v>
      </c>
      <c r="AP38" s="65">
        <v>0.56183720722105679</v>
      </c>
    </row>
    <row r="39" spans="1:42">
      <c r="A39" s="10">
        <v>34</v>
      </c>
      <c r="B39" s="10" t="s">
        <v>131</v>
      </c>
      <c r="C39" s="12" t="s">
        <v>132</v>
      </c>
      <c r="D39" s="38">
        <v>0.12151745875644709</v>
      </c>
      <c r="E39" s="38">
        <v>0.19504008190519323</v>
      </c>
      <c r="F39" s="38">
        <v>0.16844415502767146</v>
      </c>
      <c r="G39" s="38">
        <v>0.1420710887296795</v>
      </c>
      <c r="H39" s="38">
        <v>0.11941232667172445</v>
      </c>
      <c r="I39" s="38">
        <v>0.19249204676673506</v>
      </c>
      <c r="J39" s="38">
        <v>0.13000418037358805</v>
      </c>
      <c r="K39" s="38">
        <v>0.1469150902891363</v>
      </c>
      <c r="L39" s="38">
        <v>0.17175903482055394</v>
      </c>
      <c r="M39" s="38">
        <v>0.11941223443761756</v>
      </c>
      <c r="N39" s="38">
        <v>0.17160018355179116</v>
      </c>
      <c r="O39" s="38">
        <v>0.1115559160697486</v>
      </c>
      <c r="P39" s="38">
        <v>0.12393583114952324</v>
      </c>
      <c r="Q39" s="38">
        <v>0.11664832848018132</v>
      </c>
      <c r="R39" s="38">
        <v>0.1407719554900228</v>
      </c>
      <c r="S39" s="38">
        <v>0.17472469762277387</v>
      </c>
      <c r="T39" s="38">
        <v>0.15186849211467046</v>
      </c>
      <c r="U39" s="38">
        <v>0.16211396572043668</v>
      </c>
      <c r="V39" s="38">
        <v>0.14539226219521156</v>
      </c>
      <c r="W39" s="38">
        <v>0.14106833362519014</v>
      </c>
      <c r="X39" s="38">
        <v>0.20199916465615397</v>
      </c>
      <c r="Y39" s="38">
        <v>0.30693850165618319</v>
      </c>
      <c r="Z39" s="38">
        <v>0.28791771976088038</v>
      </c>
      <c r="AA39" s="38">
        <v>0.1521893120035952</v>
      </c>
      <c r="AB39" s="38">
        <v>0.15364205095531605</v>
      </c>
      <c r="AC39" s="38">
        <v>0.20372894445438194</v>
      </c>
      <c r="AD39" s="38">
        <v>4.7193039792958552E-2</v>
      </c>
      <c r="AE39" s="38">
        <v>0.32246758557826494</v>
      </c>
      <c r="AF39" s="38">
        <v>0.26097849249156857</v>
      </c>
      <c r="AG39" s="38">
        <v>0.14458723519814035</v>
      </c>
      <c r="AH39" s="38">
        <v>0.16558128082354182</v>
      </c>
      <c r="AI39" s="38">
        <v>0.12429335868030787</v>
      </c>
      <c r="AJ39" s="38">
        <v>0.1578826842099075</v>
      </c>
      <c r="AK39" s="38">
        <v>1.2322783504787578</v>
      </c>
      <c r="AL39" s="38">
        <v>0.13164918471305737</v>
      </c>
      <c r="AM39" s="38">
        <v>0.14787864061683179</v>
      </c>
      <c r="AN39" s="38">
        <v>9.8366232157493058E-2</v>
      </c>
      <c r="AO39" s="64">
        <v>7.0863194420252364</v>
      </c>
      <c r="AP39" s="65">
        <v>3.3565883062480864</v>
      </c>
    </row>
    <row r="40" spans="1:42">
      <c r="A40" s="10">
        <v>35</v>
      </c>
      <c r="B40" s="10" t="s">
        <v>133</v>
      </c>
      <c r="C40" s="12" t="s">
        <v>193</v>
      </c>
      <c r="D40" s="38">
        <v>1.6532232622987501E-3</v>
      </c>
      <c r="E40" s="38">
        <v>1.3656470363226554E-3</v>
      </c>
      <c r="F40" s="38">
        <v>1.7046199099287084E-3</v>
      </c>
      <c r="G40" s="38">
        <v>9.4021290733182887E-4</v>
      </c>
      <c r="H40" s="38">
        <v>9.2872343447342621E-4</v>
      </c>
      <c r="I40" s="38">
        <v>1.4324438354762355E-3</v>
      </c>
      <c r="J40" s="38">
        <v>8.3532264065509527E-4</v>
      </c>
      <c r="K40" s="38">
        <v>9.98009382894454E-4</v>
      </c>
      <c r="L40" s="38">
        <v>1.4838734385524714E-3</v>
      </c>
      <c r="M40" s="38">
        <v>8.4934203991789679E-4</v>
      </c>
      <c r="N40" s="38">
        <v>1.215149372711674E-3</v>
      </c>
      <c r="O40" s="38">
        <v>8.5255473541824469E-4</v>
      </c>
      <c r="P40" s="38">
        <v>1.0047189526948663E-3</v>
      </c>
      <c r="Q40" s="38">
        <v>9.2608928220515633E-4</v>
      </c>
      <c r="R40" s="38">
        <v>1.1016783216792872E-3</v>
      </c>
      <c r="S40" s="38">
        <v>1.4789216083391232E-3</v>
      </c>
      <c r="T40" s="38">
        <v>1.2494707957029917E-3</v>
      </c>
      <c r="U40" s="38">
        <v>1.5404914350585911E-3</v>
      </c>
      <c r="V40" s="38">
        <v>1.0436921663083654E-3</v>
      </c>
      <c r="W40" s="38">
        <v>1.1735236662847909E-3</v>
      </c>
      <c r="X40" s="38">
        <v>1.4357775748497798E-3</v>
      </c>
      <c r="Y40" s="38">
        <v>1.4804575520091618E-3</v>
      </c>
      <c r="Z40" s="38">
        <v>2.1429820921206556E-3</v>
      </c>
      <c r="AA40" s="38">
        <v>9.1698957758834358E-4</v>
      </c>
      <c r="AB40" s="38">
        <v>1.8339867288156525E-3</v>
      </c>
      <c r="AC40" s="38">
        <v>1.8632647571067162E-3</v>
      </c>
      <c r="AD40" s="38">
        <v>1.0285128684239856E-3</v>
      </c>
      <c r="AE40" s="38">
        <v>1.7791641516221228E-3</v>
      </c>
      <c r="AF40" s="38">
        <v>1.336951100897686E-2</v>
      </c>
      <c r="AG40" s="38">
        <v>1.3127567029251669E-3</v>
      </c>
      <c r="AH40" s="38">
        <v>1.2434746262102166E-2</v>
      </c>
      <c r="AI40" s="38">
        <v>2.648401349926777E-2</v>
      </c>
      <c r="AJ40" s="38">
        <v>3.9539797319249849E-3</v>
      </c>
      <c r="AK40" s="38">
        <v>3.7272520168356795E-3</v>
      </c>
      <c r="AL40" s="38">
        <v>1.0137907368415298</v>
      </c>
      <c r="AM40" s="38">
        <v>1.2636359384436385E-3</v>
      </c>
      <c r="AN40" s="38">
        <v>4.5843132664120483E-3</v>
      </c>
      <c r="AO40" s="64">
        <v>1.1171797887952093</v>
      </c>
      <c r="AP40" s="65">
        <v>0.52917634404228875</v>
      </c>
    </row>
    <row r="41" spans="1:42">
      <c r="A41" s="10">
        <v>36</v>
      </c>
      <c r="B41" s="10" t="s">
        <v>135</v>
      </c>
      <c r="C41" s="12" t="s">
        <v>194</v>
      </c>
      <c r="D41" s="38">
        <v>1.4777604239492813E-3</v>
      </c>
      <c r="E41" s="38">
        <v>2.4576754744938291E-3</v>
      </c>
      <c r="F41" s="38">
        <v>2.1382275602565008E-3</v>
      </c>
      <c r="G41" s="38">
        <v>2.6753855976905756E-3</v>
      </c>
      <c r="H41" s="38">
        <v>2.041971213987053E-3</v>
      </c>
      <c r="I41" s="38">
        <v>2.1083549101955494E-3</v>
      </c>
      <c r="J41" s="38">
        <v>1.2680575011112219E-3</v>
      </c>
      <c r="K41" s="38">
        <v>1.2448804722281072E-3</v>
      </c>
      <c r="L41" s="38">
        <v>2.3814093124724864E-3</v>
      </c>
      <c r="M41" s="38">
        <v>1.5141745222266229E-3</v>
      </c>
      <c r="N41" s="38">
        <v>2.5809007242288393E-3</v>
      </c>
      <c r="O41" s="38">
        <v>1.7076186378440911E-3</v>
      </c>
      <c r="P41" s="38">
        <v>1.8678928008355328E-3</v>
      </c>
      <c r="Q41" s="38">
        <v>2.2021152545833437E-3</v>
      </c>
      <c r="R41" s="38">
        <v>2.4724318196138392E-3</v>
      </c>
      <c r="S41" s="38">
        <v>5.0032700592080965E-3</v>
      </c>
      <c r="T41" s="38">
        <v>2.7113593631695383E-3</v>
      </c>
      <c r="U41" s="38">
        <v>3.3521232788718174E-3</v>
      </c>
      <c r="V41" s="38">
        <v>1.9779639916578315E-3</v>
      </c>
      <c r="W41" s="38">
        <v>3.1652823019269645E-3</v>
      </c>
      <c r="X41" s="38">
        <v>2.1661114741501411E-3</v>
      </c>
      <c r="Y41" s="38">
        <v>1.2358022777419517E-3</v>
      </c>
      <c r="Z41" s="38">
        <v>2.4034184025026068E-3</v>
      </c>
      <c r="AA41" s="38">
        <v>3.7658355135917953E-3</v>
      </c>
      <c r="AB41" s="38">
        <v>2.8491708468724526E-3</v>
      </c>
      <c r="AC41" s="38">
        <v>4.4708328293926874E-3</v>
      </c>
      <c r="AD41" s="38">
        <v>7.4354240745817108E-4</v>
      </c>
      <c r="AE41" s="38">
        <v>2.9730299538506407E-3</v>
      </c>
      <c r="AF41" s="38">
        <v>3.5464781242231938E-3</v>
      </c>
      <c r="AG41" s="38">
        <v>3.6558434565893243E-3</v>
      </c>
      <c r="AH41" s="38">
        <v>4.8738274224325974E-3</v>
      </c>
      <c r="AI41" s="38">
        <v>3.4856814348262375E-3</v>
      </c>
      <c r="AJ41" s="38">
        <v>5.7194147091276532E-3</v>
      </c>
      <c r="AK41" s="38">
        <v>2.6574122837965839E-3</v>
      </c>
      <c r="AL41" s="38">
        <v>3.0233490697694466E-3</v>
      </c>
      <c r="AM41" s="38">
        <v>1.002520507860406</v>
      </c>
      <c r="AN41" s="38">
        <v>1.3810298300403459E-3</v>
      </c>
      <c r="AO41" s="64">
        <v>1.0978201431173229</v>
      </c>
      <c r="AP41" s="65">
        <v>0.52000622959470644</v>
      </c>
    </row>
    <row r="42" spans="1:42">
      <c r="A42" s="58">
        <v>37</v>
      </c>
      <c r="B42" s="10" t="s">
        <v>136</v>
      </c>
      <c r="C42" s="12" t="s">
        <v>195</v>
      </c>
      <c r="D42" s="38">
        <v>1.2346739411897595E-2</v>
      </c>
      <c r="E42" s="38">
        <v>1.0649270841433139E-2</v>
      </c>
      <c r="F42" s="38">
        <v>9.0879181080991515E-3</v>
      </c>
      <c r="G42" s="38">
        <v>7.1262112874976215E-3</v>
      </c>
      <c r="H42" s="38">
        <v>7.8634852991401327E-3</v>
      </c>
      <c r="I42" s="38">
        <v>5.2027892642079543E-3</v>
      </c>
      <c r="J42" s="38">
        <v>2.9074905352316827E-2</v>
      </c>
      <c r="K42" s="38">
        <v>5.2755045671565078E-3</v>
      </c>
      <c r="L42" s="38">
        <v>1.7550324008344068E-2</v>
      </c>
      <c r="M42" s="38">
        <v>2.1186884660730997E-2</v>
      </c>
      <c r="N42" s="38">
        <v>1.4378225218223201E-2</v>
      </c>
      <c r="O42" s="38">
        <v>1.1758492951581373E-2</v>
      </c>
      <c r="P42" s="38">
        <v>1.4273119962149937E-2</v>
      </c>
      <c r="Q42" s="38">
        <v>1.2096479255749353E-2</v>
      </c>
      <c r="R42" s="38">
        <v>8.2715346285574028E-3</v>
      </c>
      <c r="S42" s="38">
        <v>6.6311572166192151E-3</v>
      </c>
      <c r="T42" s="38">
        <v>7.3265929687803657E-3</v>
      </c>
      <c r="U42" s="38">
        <v>6.5320644752765436E-3</v>
      </c>
      <c r="V42" s="38">
        <v>7.5366071262502254E-3</v>
      </c>
      <c r="W42" s="38">
        <v>6.3545955616361831E-3</v>
      </c>
      <c r="X42" s="38">
        <v>1.9472293223346034E-2</v>
      </c>
      <c r="Y42" s="38">
        <v>6.9826789036756889E-3</v>
      </c>
      <c r="Z42" s="38">
        <v>1.2891051100499033E-2</v>
      </c>
      <c r="AA42" s="38">
        <v>1.0835196965032672E-2</v>
      </c>
      <c r="AB42" s="38">
        <v>6.8257440961402649E-3</v>
      </c>
      <c r="AC42" s="38">
        <v>1.3628818914801362E-2</v>
      </c>
      <c r="AD42" s="38">
        <v>4.3425686647611383E-3</v>
      </c>
      <c r="AE42" s="38">
        <v>8.7040977420634099E-3</v>
      </c>
      <c r="AF42" s="38">
        <v>8.3679871601358615E-3</v>
      </c>
      <c r="AG42" s="38">
        <v>2.8749488804691264E-3</v>
      </c>
      <c r="AH42" s="38">
        <v>9.2307344401866345E-3</v>
      </c>
      <c r="AI42" s="38">
        <v>6.1666434417284267E-3</v>
      </c>
      <c r="AJ42" s="38">
        <v>1.6024086108161077E-2</v>
      </c>
      <c r="AK42" s="38">
        <v>7.6278244388752973E-3</v>
      </c>
      <c r="AL42" s="38">
        <v>1.1118882155905891E-2</v>
      </c>
      <c r="AM42" s="38">
        <v>7.8150270423771716E-3</v>
      </c>
      <c r="AN42" s="38">
        <v>1.0029662779290061</v>
      </c>
      <c r="AO42" s="64">
        <v>1.3763977633728128</v>
      </c>
      <c r="AP42" s="65">
        <v>0.65196053820046673</v>
      </c>
    </row>
    <row r="43" spans="1:42">
      <c r="A43" s="19"/>
      <c r="B43" s="11"/>
      <c r="C43" s="13" t="s">
        <v>27</v>
      </c>
      <c r="D43" s="33">
        <v>2.0655694733930829</v>
      </c>
      <c r="E43" s="33">
        <v>2.1927938923261245</v>
      </c>
      <c r="F43" s="33">
        <v>2.4234250939836475</v>
      </c>
      <c r="G43" s="33">
        <v>2.1893073911281791</v>
      </c>
      <c r="H43" s="33">
        <v>2.2899479037766719</v>
      </c>
      <c r="I43" s="33">
        <v>2.235019019071447</v>
      </c>
      <c r="J43" s="33">
        <v>2.0821213977933413</v>
      </c>
      <c r="K43" s="33">
        <v>2.2089182060571448</v>
      </c>
      <c r="L43" s="33">
        <v>2.1093792129581281</v>
      </c>
      <c r="M43" s="33">
        <v>2.2718617700502133</v>
      </c>
      <c r="N43" s="33">
        <v>3.3162202557806735</v>
      </c>
      <c r="O43" s="33">
        <v>2.0857882394419787</v>
      </c>
      <c r="P43" s="33">
        <v>2.102753893908154</v>
      </c>
      <c r="Q43" s="33">
        <v>2.1244308349943948</v>
      </c>
      <c r="R43" s="33">
        <v>2.3371399735655478</v>
      </c>
      <c r="S43" s="33">
        <v>2.5775136980084703</v>
      </c>
      <c r="T43" s="33">
        <v>2.4661471867186058</v>
      </c>
      <c r="U43" s="33">
        <v>2.5831233793900528</v>
      </c>
      <c r="V43" s="33">
        <v>2.7905952533920972</v>
      </c>
      <c r="W43" s="33">
        <v>2.1555180053346517</v>
      </c>
      <c r="X43" s="33">
        <v>2.0473735173195515</v>
      </c>
      <c r="Y43" s="33">
        <v>1.8961059712712143</v>
      </c>
      <c r="Z43" s="33">
        <v>2.0962022617126097</v>
      </c>
      <c r="AA43" s="33">
        <v>1.7105180346750497</v>
      </c>
      <c r="AB43" s="33">
        <v>1.6012836489665334</v>
      </c>
      <c r="AC43" s="33">
        <v>1.6894871346052585</v>
      </c>
      <c r="AD43" s="33">
        <v>1.2702009147824607</v>
      </c>
      <c r="AE43" s="33">
        <v>2.0759924779242147</v>
      </c>
      <c r="AF43" s="33">
        <v>1.9356383807427089</v>
      </c>
      <c r="AG43" s="33">
        <v>1.5269829470808967</v>
      </c>
      <c r="AH43" s="33">
        <v>1.6124102574254384</v>
      </c>
      <c r="AI43" s="33">
        <v>1.8036842203976633</v>
      </c>
      <c r="AJ43" s="33">
        <v>1.7569009188057993</v>
      </c>
      <c r="AK43" s="33">
        <v>1.7974881904703552</v>
      </c>
      <c r="AL43" s="33">
        <v>1.9538454338817171</v>
      </c>
      <c r="AM43" s="33">
        <v>3.0986427738494378</v>
      </c>
      <c r="AN43" s="33">
        <v>1.6328586077615816</v>
      </c>
      <c r="AO43" s="62"/>
      <c r="AP43" s="66"/>
    </row>
    <row r="44" spans="1:42">
      <c r="A44" s="6"/>
      <c r="B44" s="11"/>
      <c r="C44" s="13" t="s">
        <v>28</v>
      </c>
      <c r="D44" s="33">
        <v>0.97840160845934776</v>
      </c>
      <c r="E44" s="33">
        <v>1.0386642032172562</v>
      </c>
      <c r="F44" s="33">
        <v>1.1479076547541152</v>
      </c>
      <c r="G44" s="33">
        <v>1.037012746597711</v>
      </c>
      <c r="H44" s="33">
        <v>1.0846832997888891</v>
      </c>
      <c r="I44" s="33">
        <v>1.0586650467895418</v>
      </c>
      <c r="J44" s="33">
        <v>0.98624178506193272</v>
      </c>
      <c r="K44" s="33">
        <v>1.0463018327876712</v>
      </c>
      <c r="L44" s="33">
        <v>0.99915303812983658</v>
      </c>
      <c r="M44" s="33">
        <v>1.0761164117917938</v>
      </c>
      <c r="N44" s="33">
        <v>1.5707993723064797</v>
      </c>
      <c r="O44" s="33">
        <v>0.98797866383226973</v>
      </c>
      <c r="P44" s="33">
        <v>0.9960148126193662</v>
      </c>
      <c r="Q44" s="33">
        <v>1.0062825641031337</v>
      </c>
      <c r="R44" s="33">
        <v>1.1070368432463815</v>
      </c>
      <c r="S44" s="33">
        <v>1.2208950511913261</v>
      </c>
      <c r="T44" s="33">
        <v>1.1681438970045244</v>
      </c>
      <c r="U44" s="33">
        <v>1.2235521979769381</v>
      </c>
      <c r="V44" s="33">
        <v>1.3218257336040045</v>
      </c>
      <c r="W44" s="33">
        <v>1.0210076739845231</v>
      </c>
      <c r="X44" s="33">
        <v>0.9697827007348091</v>
      </c>
      <c r="Y44" s="33">
        <v>0.89813155935815359</v>
      </c>
      <c r="Z44" s="33">
        <v>0.99291149047952809</v>
      </c>
      <c r="AA44" s="33">
        <v>0.81022382349388344</v>
      </c>
      <c r="AB44" s="33">
        <v>0.75848259665404305</v>
      </c>
      <c r="AC44" s="33">
        <v>0.80026208329551063</v>
      </c>
      <c r="AD44" s="33">
        <v>0.60165810644374917</v>
      </c>
      <c r="AE44" s="33">
        <v>0.98333868974835725</v>
      </c>
      <c r="AF44" s="33">
        <v>0.91685693921654543</v>
      </c>
      <c r="AG44" s="33">
        <v>0.72328846391197221</v>
      </c>
      <c r="AH44" s="33">
        <v>0.76375295514506358</v>
      </c>
      <c r="AI44" s="33">
        <v>0.85435400025104191</v>
      </c>
      <c r="AJ44" s="33">
        <v>0.83219407868165107</v>
      </c>
      <c r="AK44" s="33">
        <v>0.85141911680847138</v>
      </c>
      <c r="AL44" s="33">
        <v>0.92548110330590327</v>
      </c>
      <c r="AM44" s="33">
        <v>1.467739097148383</v>
      </c>
      <c r="AN44" s="33">
        <v>0.77343875807589313</v>
      </c>
      <c r="AO44" s="64"/>
      <c r="AP44" s="67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6EF0-861C-4400-BA7C-A77548E22E7D}">
  <dimension ref="A1:AP44"/>
  <sheetViews>
    <sheetView workbookViewId="0">
      <pane xSplit="3" ySplit="5" topLeftCell="D6" activePane="bottomRight" state="frozen"/>
      <selection activeCell="H40" sqref="H40"/>
      <selection pane="topRight" activeCell="H40" sqref="H40"/>
      <selection pane="bottomLeft" activeCell="H40" sqref="H40"/>
      <selection pane="bottomRight"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1.59765625" style="1" customWidth="1"/>
    <col min="4" max="108" width="10.59765625" style="1" customWidth="1"/>
    <col min="109" max="110" width="10.69921875" style="1" customWidth="1"/>
    <col min="111" max="16384" width="8.69921875" style="1"/>
  </cols>
  <sheetData>
    <row r="1" spans="1:42">
      <c r="A1" s="1" t="s">
        <v>226</v>
      </c>
    </row>
    <row r="2" spans="1:42" ht="13.2">
      <c r="A2" s="1" t="s">
        <v>32</v>
      </c>
    </row>
    <row r="3" spans="1:42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17">
        <v>9</v>
      </c>
      <c r="M3" s="17">
        <v>10</v>
      </c>
      <c r="N3" s="17">
        <v>11</v>
      </c>
      <c r="O3" s="17">
        <v>12</v>
      </c>
      <c r="P3" s="17">
        <v>13</v>
      </c>
      <c r="Q3" s="17">
        <v>14</v>
      </c>
      <c r="R3" s="17">
        <v>15</v>
      </c>
      <c r="S3" s="17">
        <v>16</v>
      </c>
      <c r="T3" s="17">
        <v>17</v>
      </c>
      <c r="U3" s="17">
        <v>18</v>
      </c>
      <c r="V3" s="17">
        <v>19</v>
      </c>
      <c r="W3" s="17">
        <v>20</v>
      </c>
      <c r="X3" s="17">
        <v>21</v>
      </c>
      <c r="Y3" s="17">
        <v>22</v>
      </c>
      <c r="Z3" s="17">
        <v>23</v>
      </c>
      <c r="AA3" s="17">
        <v>24</v>
      </c>
      <c r="AB3" s="17">
        <v>25</v>
      </c>
      <c r="AC3" s="17">
        <v>26</v>
      </c>
      <c r="AD3" s="17">
        <v>27</v>
      </c>
      <c r="AE3" s="17">
        <v>28</v>
      </c>
      <c r="AF3" s="17">
        <v>29</v>
      </c>
      <c r="AG3" s="17">
        <v>30</v>
      </c>
      <c r="AH3" s="17">
        <v>31</v>
      </c>
      <c r="AI3" s="17">
        <v>32</v>
      </c>
      <c r="AJ3" s="17">
        <v>33</v>
      </c>
      <c r="AK3" s="17">
        <v>34</v>
      </c>
      <c r="AL3" s="17">
        <v>35</v>
      </c>
      <c r="AM3" s="17">
        <v>36</v>
      </c>
      <c r="AN3" s="17">
        <v>37</v>
      </c>
      <c r="AO3" s="2"/>
      <c r="AP3" s="5"/>
    </row>
    <row r="4" spans="1:42">
      <c r="A4" s="10"/>
      <c r="B4" s="16"/>
      <c r="C4" s="18"/>
      <c r="D4" s="4" t="s">
        <v>75</v>
      </c>
      <c r="E4" s="4" t="s">
        <v>77</v>
      </c>
      <c r="F4" s="4" t="s">
        <v>79</v>
      </c>
      <c r="G4" s="4" t="s">
        <v>81</v>
      </c>
      <c r="H4" s="4" t="s">
        <v>83</v>
      </c>
      <c r="I4" s="4" t="s">
        <v>85</v>
      </c>
      <c r="J4" s="4" t="s">
        <v>87</v>
      </c>
      <c r="K4" s="4" t="s">
        <v>89</v>
      </c>
      <c r="L4" s="4" t="s">
        <v>91</v>
      </c>
      <c r="M4" s="4" t="s">
        <v>93</v>
      </c>
      <c r="N4" s="4" t="s">
        <v>95</v>
      </c>
      <c r="O4" s="4" t="s">
        <v>97</v>
      </c>
      <c r="P4" s="4" t="s">
        <v>99</v>
      </c>
      <c r="Q4" s="4" t="s">
        <v>100</v>
      </c>
      <c r="R4" s="4" t="s">
        <v>101</v>
      </c>
      <c r="S4" s="4" t="s">
        <v>102</v>
      </c>
      <c r="T4" s="4" t="s">
        <v>104</v>
      </c>
      <c r="U4" s="4" t="s">
        <v>106</v>
      </c>
      <c r="V4" s="4" t="s">
        <v>108</v>
      </c>
      <c r="W4" s="4" t="s">
        <v>110</v>
      </c>
      <c r="X4" s="4" t="s">
        <v>111</v>
      </c>
      <c r="Y4" s="4" t="s">
        <v>113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121</v>
      </c>
      <c r="AF4" s="4" t="s">
        <v>123</v>
      </c>
      <c r="AG4" s="4" t="s">
        <v>125</v>
      </c>
      <c r="AH4" s="4" t="s">
        <v>126</v>
      </c>
      <c r="AI4" s="4" t="s">
        <v>128</v>
      </c>
      <c r="AJ4" s="4" t="s">
        <v>130</v>
      </c>
      <c r="AK4" s="4" t="s">
        <v>131</v>
      </c>
      <c r="AL4" s="4" t="s">
        <v>133</v>
      </c>
      <c r="AM4" s="4" t="s">
        <v>135</v>
      </c>
      <c r="AN4" s="4" t="s">
        <v>136</v>
      </c>
      <c r="AO4" s="10"/>
      <c r="AP4" s="19"/>
    </row>
    <row r="5" spans="1:42" ht="48" customHeight="1">
      <c r="A5" s="6"/>
      <c r="B5" s="15"/>
      <c r="C5" s="69" t="s">
        <v>225</v>
      </c>
      <c r="D5" s="7" t="s">
        <v>76</v>
      </c>
      <c r="E5" s="7" t="s">
        <v>78</v>
      </c>
      <c r="F5" s="7" t="s">
        <v>80</v>
      </c>
      <c r="G5" s="7" t="s">
        <v>82</v>
      </c>
      <c r="H5" s="7" t="s">
        <v>84</v>
      </c>
      <c r="I5" s="7" t="s">
        <v>86</v>
      </c>
      <c r="J5" s="7" t="s">
        <v>88</v>
      </c>
      <c r="K5" s="7" t="s">
        <v>90</v>
      </c>
      <c r="L5" s="7" t="s">
        <v>92</v>
      </c>
      <c r="M5" s="7" t="s">
        <v>94</v>
      </c>
      <c r="N5" s="7" t="s">
        <v>96</v>
      </c>
      <c r="O5" s="7" t="s">
        <v>98</v>
      </c>
      <c r="P5" s="7" t="s">
        <v>72</v>
      </c>
      <c r="Q5" s="7" t="s">
        <v>73</v>
      </c>
      <c r="R5" s="7" t="s">
        <v>74</v>
      </c>
      <c r="S5" s="7" t="s">
        <v>103</v>
      </c>
      <c r="T5" s="7" t="s">
        <v>105</v>
      </c>
      <c r="U5" s="7" t="s">
        <v>107</v>
      </c>
      <c r="V5" s="7" t="s">
        <v>109</v>
      </c>
      <c r="W5" s="7" t="s">
        <v>66</v>
      </c>
      <c r="X5" s="7" t="s">
        <v>112</v>
      </c>
      <c r="Y5" s="7" t="s">
        <v>114</v>
      </c>
      <c r="Z5" s="7" t="s">
        <v>0</v>
      </c>
      <c r="AA5" s="7" t="s">
        <v>1</v>
      </c>
      <c r="AB5" s="7" t="s">
        <v>67</v>
      </c>
      <c r="AC5" s="7" t="s">
        <v>68</v>
      </c>
      <c r="AD5" s="7" t="s">
        <v>120</v>
      </c>
      <c r="AE5" s="7" t="s">
        <v>122</v>
      </c>
      <c r="AF5" s="7" t="s">
        <v>124</v>
      </c>
      <c r="AG5" s="7" t="s">
        <v>69</v>
      </c>
      <c r="AH5" s="7" t="s">
        <v>127</v>
      </c>
      <c r="AI5" s="7" t="s">
        <v>129</v>
      </c>
      <c r="AJ5" s="7" t="s">
        <v>2</v>
      </c>
      <c r="AK5" s="7" t="s">
        <v>132</v>
      </c>
      <c r="AL5" s="7" t="s">
        <v>134</v>
      </c>
      <c r="AM5" s="7" t="s">
        <v>3</v>
      </c>
      <c r="AN5" s="7" t="s">
        <v>4</v>
      </c>
      <c r="AO5" s="53" t="s">
        <v>29</v>
      </c>
      <c r="AP5" s="8" t="s">
        <v>30</v>
      </c>
    </row>
    <row r="6" spans="1:42">
      <c r="A6" s="10">
        <v>1</v>
      </c>
      <c r="B6" s="10" t="s">
        <v>75</v>
      </c>
      <c r="C6" s="12" t="s">
        <v>179</v>
      </c>
      <c r="D6" s="38">
        <v>1.0578674126694156</v>
      </c>
      <c r="E6" s="38">
        <v>4.5030354151052703E-5</v>
      </c>
      <c r="F6" s="38">
        <v>7.9798805192298775E-2</v>
      </c>
      <c r="G6" s="38">
        <v>5.5438022446137923E-3</v>
      </c>
      <c r="H6" s="38">
        <v>1.3714948837534132E-2</v>
      </c>
      <c r="I6" s="38">
        <v>1.5397602274547382E-3</v>
      </c>
      <c r="J6" s="38">
        <v>2.4975692509633565E-5</v>
      </c>
      <c r="K6" s="38">
        <v>3.927315497790129E-4</v>
      </c>
      <c r="L6" s="38">
        <v>2.5766975288484852E-4</v>
      </c>
      <c r="M6" s="38">
        <v>3.1131555644845399E-5</v>
      </c>
      <c r="N6" s="38">
        <v>1.0373228791605596E-4</v>
      </c>
      <c r="O6" s="38">
        <v>2.9910274448634456E-5</v>
      </c>
      <c r="P6" s="38">
        <v>3.2637350071954287E-5</v>
      </c>
      <c r="Q6" s="38">
        <v>2.454953193146938E-5</v>
      </c>
      <c r="R6" s="38">
        <v>5.2890668777157023E-5</v>
      </c>
      <c r="S6" s="38">
        <v>5.541967107663692E-5</v>
      </c>
      <c r="T6" s="38">
        <v>5.3994514736898048E-5</v>
      </c>
      <c r="U6" s="38">
        <v>5.5815575521858049E-5</v>
      </c>
      <c r="V6" s="38">
        <v>2.1804202575346935E-5</v>
      </c>
      <c r="W6" s="38">
        <v>3.251244458504692E-3</v>
      </c>
      <c r="X6" s="38">
        <v>7.3996913503644735E-4</v>
      </c>
      <c r="Y6" s="38">
        <v>4.9676848219042886E-5</v>
      </c>
      <c r="Z6" s="38">
        <v>1.1197206700195285E-4</v>
      </c>
      <c r="AA6" s="38">
        <v>5.6375872113799608E-5</v>
      </c>
      <c r="AB6" s="38">
        <v>1.5191645731576405E-4</v>
      </c>
      <c r="AC6" s="38">
        <v>7.9381113755993426E-5</v>
      </c>
      <c r="AD6" s="38">
        <v>2.9544983428592115E-5</v>
      </c>
      <c r="AE6" s="38">
        <v>5.9421956522170761E-5</v>
      </c>
      <c r="AF6" s="38">
        <v>2.0796781434977941E-4</v>
      </c>
      <c r="AG6" s="38">
        <v>6.161461138368246E-5</v>
      </c>
      <c r="AH6" s="38">
        <v>1.1344389374155532E-3</v>
      </c>
      <c r="AI6" s="38">
        <v>1.5239613856477009E-3</v>
      </c>
      <c r="AJ6" s="38">
        <v>1.2905276787821014E-3</v>
      </c>
      <c r="AK6" s="38">
        <v>7.9354422395859934E-5</v>
      </c>
      <c r="AL6" s="38">
        <v>1.0833983645419576E-2</v>
      </c>
      <c r="AM6" s="38">
        <v>1.917406678998336E-3</v>
      </c>
      <c r="AN6" s="38">
        <v>1.2692958581603681E-4</v>
      </c>
      <c r="AO6" s="62">
        <v>1.1813527098054495</v>
      </c>
      <c r="AP6" s="63">
        <v>0.91346099180259832</v>
      </c>
    </row>
    <row r="7" spans="1:42">
      <c r="A7" s="10">
        <v>2</v>
      </c>
      <c r="B7" s="10" t="s">
        <v>77</v>
      </c>
      <c r="C7" s="12" t="s">
        <v>180</v>
      </c>
      <c r="D7" s="38">
        <v>1.1872847421347604E-4</v>
      </c>
      <c r="E7" s="38">
        <v>1.0001533131803124</v>
      </c>
      <c r="F7" s="38">
        <v>1.6554548884109343E-4</v>
      </c>
      <c r="G7" s="38">
        <v>1.4449959794002887E-4</v>
      </c>
      <c r="H7" s="38">
        <v>3.2914371243632657E-4</v>
      </c>
      <c r="I7" s="38">
        <v>8.0438664175101749E-4</v>
      </c>
      <c r="J7" s="38">
        <v>8.984449402556733E-3</v>
      </c>
      <c r="K7" s="38">
        <v>1.8012656774065442E-4</v>
      </c>
      <c r="L7" s="38">
        <v>5.1436954498537812E-3</v>
      </c>
      <c r="M7" s="38">
        <v>4.3217996154057533E-4</v>
      </c>
      <c r="N7" s="38">
        <v>4.7757894183314345E-3</v>
      </c>
      <c r="O7" s="38">
        <v>1.6628079287518569E-4</v>
      </c>
      <c r="P7" s="38">
        <v>1.3472313668303114E-4</v>
      </c>
      <c r="Q7" s="38">
        <v>9.3831980515449612E-5</v>
      </c>
      <c r="R7" s="38">
        <v>2.0428250829733637E-4</v>
      </c>
      <c r="S7" s="38">
        <v>3.1244328978718153E-4</v>
      </c>
      <c r="T7" s="38">
        <v>9.9785037877951502E-5</v>
      </c>
      <c r="U7" s="38">
        <v>6.7832883564770038E-5</v>
      </c>
      <c r="V7" s="38">
        <v>1.3317284826863641E-4</v>
      </c>
      <c r="W7" s="38">
        <v>2.3054358316067664E-4</v>
      </c>
      <c r="X7" s="38">
        <v>5.5486376856755915E-4</v>
      </c>
      <c r="Y7" s="38">
        <v>8.533332710975389E-3</v>
      </c>
      <c r="Z7" s="38">
        <v>3.9879805129126644E-4</v>
      </c>
      <c r="AA7" s="38">
        <v>4.1377933085872369E-4</v>
      </c>
      <c r="AB7" s="38">
        <v>1.6383489005196173E-4</v>
      </c>
      <c r="AC7" s="38">
        <v>4.8835016547360008E-5</v>
      </c>
      <c r="AD7" s="38">
        <v>3.3268347240768529E-5</v>
      </c>
      <c r="AE7" s="38">
        <v>1.2014758860501525E-4</v>
      </c>
      <c r="AF7" s="38">
        <v>6.801477927267478E-5</v>
      </c>
      <c r="AG7" s="38">
        <v>8.9066279989771606E-5</v>
      </c>
      <c r="AH7" s="38">
        <v>1.2009775211716613E-4</v>
      </c>
      <c r="AI7" s="38">
        <v>9.5625141661380685E-5</v>
      </c>
      <c r="AJ7" s="38">
        <v>5.3009808672777118E-5</v>
      </c>
      <c r="AK7" s="38">
        <v>4.6597232145349887E-5</v>
      </c>
      <c r="AL7" s="38">
        <v>2.1747197291789916E-4</v>
      </c>
      <c r="AM7" s="38">
        <v>9.7051362246882572E-5</v>
      </c>
      <c r="AN7" s="38">
        <v>8.1517372942798157E-5</v>
      </c>
      <c r="AO7" s="64">
        <v>1.0338100653626523</v>
      </c>
      <c r="AP7" s="65">
        <v>0.79937613872930158</v>
      </c>
    </row>
    <row r="8" spans="1:42">
      <c r="A8" s="10">
        <v>3</v>
      </c>
      <c r="B8" s="10" t="s">
        <v>79</v>
      </c>
      <c r="C8" s="12" t="s">
        <v>181</v>
      </c>
      <c r="D8" s="38">
        <v>9.1352329381269286E-3</v>
      </c>
      <c r="E8" s="38">
        <v>2.0862202528848338E-5</v>
      </c>
      <c r="F8" s="38">
        <v>1.046861260504691</v>
      </c>
      <c r="G8" s="38">
        <v>7.1828525360924779E-4</v>
      </c>
      <c r="H8" s="38">
        <v>3.7156915591390931E-4</v>
      </c>
      <c r="I8" s="38">
        <v>2.5165389777540678E-3</v>
      </c>
      <c r="J8" s="38">
        <v>1.9279827237700483E-5</v>
      </c>
      <c r="K8" s="38">
        <v>2.6625358365681677E-5</v>
      </c>
      <c r="L8" s="38">
        <v>1.1358921670458478E-4</v>
      </c>
      <c r="M8" s="38">
        <v>1.4329193964155287E-5</v>
      </c>
      <c r="N8" s="38">
        <v>1.8490487282564939E-5</v>
      </c>
      <c r="O8" s="38">
        <v>1.1393654772928516E-5</v>
      </c>
      <c r="P8" s="38">
        <v>1.6234698954588253E-5</v>
      </c>
      <c r="Q8" s="38">
        <v>1.208036252975154E-5</v>
      </c>
      <c r="R8" s="38">
        <v>1.4526649037205685E-5</v>
      </c>
      <c r="S8" s="38">
        <v>1.7630836256131744E-5</v>
      </c>
      <c r="T8" s="38">
        <v>1.3989798415245381E-5</v>
      </c>
      <c r="U8" s="38">
        <v>1.664527006842039E-5</v>
      </c>
      <c r="V8" s="38">
        <v>8.3533838681271531E-6</v>
      </c>
      <c r="W8" s="38">
        <v>3.6176310095884775E-4</v>
      </c>
      <c r="X8" s="38">
        <v>3.9611872536168402E-5</v>
      </c>
      <c r="Y8" s="38">
        <v>2.0086175778021516E-5</v>
      </c>
      <c r="Z8" s="38">
        <v>3.698600450443706E-5</v>
      </c>
      <c r="AA8" s="38">
        <v>1.7409895667708544E-5</v>
      </c>
      <c r="AB8" s="38">
        <v>5.7367864608059513E-5</v>
      </c>
      <c r="AC8" s="38">
        <v>3.0839283535870124E-5</v>
      </c>
      <c r="AD8" s="38">
        <v>1.8342042195547889E-5</v>
      </c>
      <c r="AE8" s="38">
        <v>2.4146009396196056E-5</v>
      </c>
      <c r="AF8" s="38">
        <v>2.1756949420693853E-4</v>
      </c>
      <c r="AG8" s="38">
        <v>1.6281122036066291E-4</v>
      </c>
      <c r="AH8" s="38">
        <v>1.558669288187316E-3</v>
      </c>
      <c r="AI8" s="38">
        <v>2.0880212893026606E-3</v>
      </c>
      <c r="AJ8" s="38">
        <v>4.0419265263602622E-4</v>
      </c>
      <c r="AK8" s="38">
        <v>5.8083973440088376E-5</v>
      </c>
      <c r="AL8" s="38">
        <v>2.210377600200104E-2</v>
      </c>
      <c r="AM8" s="38">
        <v>7.742492859347121E-5</v>
      </c>
      <c r="AN8" s="38">
        <v>8.7782326384560933E-4</v>
      </c>
      <c r="AO8" s="64">
        <v>1.0880818421318355</v>
      </c>
      <c r="AP8" s="65">
        <v>0.84134087171969829</v>
      </c>
    </row>
    <row r="9" spans="1:42">
      <c r="A9" s="10">
        <v>4</v>
      </c>
      <c r="B9" s="10" t="s">
        <v>81</v>
      </c>
      <c r="C9" s="12" t="s">
        <v>82</v>
      </c>
      <c r="D9" s="38">
        <v>1.2742601249083132E-4</v>
      </c>
      <c r="E9" s="38">
        <v>1.346909763205936E-4</v>
      </c>
      <c r="F9" s="38">
        <v>6.1906227013614571E-5</v>
      </c>
      <c r="G9" s="38">
        <v>1.0077943527160242</v>
      </c>
      <c r="H9" s="38">
        <v>1.0882010539730326E-4</v>
      </c>
      <c r="I9" s="38">
        <v>8.2717092908694709E-5</v>
      </c>
      <c r="J9" s="38">
        <v>3.3304026140036192E-5</v>
      </c>
      <c r="K9" s="38">
        <v>7.6923022655306052E-5</v>
      </c>
      <c r="L9" s="38">
        <v>1.3543592124700058E-4</v>
      </c>
      <c r="M9" s="38">
        <v>4.838711320726625E-5</v>
      </c>
      <c r="N9" s="38">
        <v>1.0438204045020179E-4</v>
      </c>
      <c r="O9" s="38">
        <v>5.927966319545313E-5</v>
      </c>
      <c r="P9" s="38">
        <v>6.7628345926759619E-5</v>
      </c>
      <c r="Q9" s="38">
        <v>6.5374262532061792E-5</v>
      </c>
      <c r="R9" s="38">
        <v>7.2286211615617816E-5</v>
      </c>
      <c r="S9" s="38">
        <v>1.7200194847596614E-4</v>
      </c>
      <c r="T9" s="38">
        <v>1.1672068044834338E-4</v>
      </c>
      <c r="U9" s="38">
        <v>6.291564221235284E-5</v>
      </c>
      <c r="V9" s="38">
        <v>4.85072010506982E-5</v>
      </c>
      <c r="W9" s="38">
        <v>3.0561696190915387E-4</v>
      </c>
      <c r="X9" s="38">
        <v>1.5382350157308819E-4</v>
      </c>
      <c r="Y9" s="38">
        <v>3.8730015781504674E-5</v>
      </c>
      <c r="Z9" s="38">
        <v>7.9301889787945844E-5</v>
      </c>
      <c r="AA9" s="38">
        <v>1.2603341250676337E-4</v>
      </c>
      <c r="AB9" s="38">
        <v>1.8409065224433478E-4</v>
      </c>
      <c r="AC9" s="38">
        <v>8.0173216959864225E-5</v>
      </c>
      <c r="AD9" s="38">
        <v>1.1678263674751679E-5</v>
      </c>
      <c r="AE9" s="38">
        <v>7.0710157594164558E-5</v>
      </c>
      <c r="AF9" s="38">
        <v>5.4718733132291298E-5</v>
      </c>
      <c r="AG9" s="38">
        <v>1.9005953973357017E-4</v>
      </c>
      <c r="AH9" s="38">
        <v>4.2409079792940945E-5</v>
      </c>
      <c r="AI9" s="38">
        <v>1.6382892207660556E-4</v>
      </c>
      <c r="AJ9" s="38">
        <v>8.972825632062348E-4</v>
      </c>
      <c r="AK9" s="38">
        <v>9.1578076919220677E-5</v>
      </c>
      <c r="AL9" s="38">
        <v>2.0380001496578146E-4</v>
      </c>
      <c r="AM9" s="38">
        <v>8.262563396312587E-4</v>
      </c>
      <c r="AN9" s="38">
        <v>4.1939651008491804E-5</v>
      </c>
      <c r="AO9" s="64">
        <v>1.0129350902018111</v>
      </c>
      <c r="AP9" s="65">
        <v>0.78323491743611395</v>
      </c>
    </row>
    <row r="10" spans="1:42">
      <c r="A10" s="10">
        <v>5</v>
      </c>
      <c r="B10" s="10" t="s">
        <v>83</v>
      </c>
      <c r="C10" s="12" t="s">
        <v>84</v>
      </c>
      <c r="D10" s="38">
        <v>1.7875867140756695E-2</v>
      </c>
      <c r="E10" s="38">
        <v>1.3016884636211242E-3</v>
      </c>
      <c r="F10" s="38">
        <v>7.7542724142845567E-3</v>
      </c>
      <c r="G10" s="38">
        <v>2.4388032671871208E-3</v>
      </c>
      <c r="H10" s="38">
        <v>1.0946101010200506</v>
      </c>
      <c r="I10" s="38">
        <v>8.8881409227922082E-3</v>
      </c>
      <c r="J10" s="38">
        <v>7.0806354914240677E-4</v>
      </c>
      <c r="K10" s="38">
        <v>2.2437981368262283E-3</v>
      </c>
      <c r="L10" s="38">
        <v>5.0001474675953513E-3</v>
      </c>
      <c r="M10" s="38">
        <v>8.3582815413334025E-4</v>
      </c>
      <c r="N10" s="38">
        <v>1.9386469029790624E-3</v>
      </c>
      <c r="O10" s="38">
        <v>1.3068160078342351E-3</v>
      </c>
      <c r="P10" s="38">
        <v>1.081944117171091E-3</v>
      </c>
      <c r="Q10" s="38">
        <v>8.1979403671072332E-4</v>
      </c>
      <c r="R10" s="38">
        <v>2.0326346256175718E-3</v>
      </c>
      <c r="S10" s="38">
        <v>2.5424706590261308E-3</v>
      </c>
      <c r="T10" s="38">
        <v>2.6051945626551958E-3</v>
      </c>
      <c r="U10" s="38">
        <v>2.5869792843489789E-3</v>
      </c>
      <c r="V10" s="38">
        <v>7.6186494732309617E-4</v>
      </c>
      <c r="W10" s="38">
        <v>1.848946815525172E-2</v>
      </c>
      <c r="X10" s="38">
        <v>1.4577783014341058E-2</v>
      </c>
      <c r="Y10" s="38">
        <v>1.1993846495304535E-3</v>
      </c>
      <c r="Z10" s="38">
        <v>2.9226858820313915E-3</v>
      </c>
      <c r="AA10" s="38">
        <v>2.4177946113485855E-3</v>
      </c>
      <c r="AB10" s="38">
        <v>3.2035935215911616E-3</v>
      </c>
      <c r="AC10" s="38">
        <v>2.7321231038301449E-3</v>
      </c>
      <c r="AD10" s="38">
        <v>6.2614053911220233E-4</v>
      </c>
      <c r="AE10" s="38">
        <v>2.2315111429678436E-3</v>
      </c>
      <c r="AF10" s="38">
        <v>5.0009957676280005E-3</v>
      </c>
      <c r="AG10" s="38">
        <v>1.3937668691197164E-3</v>
      </c>
      <c r="AH10" s="38">
        <v>3.6256787482917812E-3</v>
      </c>
      <c r="AI10" s="38">
        <v>2.9414200423427757E-3</v>
      </c>
      <c r="AJ10" s="38">
        <v>7.4396308992782257E-3</v>
      </c>
      <c r="AK10" s="38">
        <v>2.2937250849256832E-3</v>
      </c>
      <c r="AL10" s="38">
        <v>2.7477024822094047E-3</v>
      </c>
      <c r="AM10" s="38">
        <v>0.13812402443926727</v>
      </c>
      <c r="AN10" s="38">
        <v>1.0007860168687929E-3</v>
      </c>
      <c r="AO10" s="64">
        <v>1.3703012706499915</v>
      </c>
      <c r="AP10" s="65">
        <v>1.05956226905548</v>
      </c>
    </row>
    <row r="11" spans="1:42">
      <c r="A11" s="10">
        <v>6</v>
      </c>
      <c r="B11" s="10" t="s">
        <v>85</v>
      </c>
      <c r="C11" s="12" t="s">
        <v>86</v>
      </c>
      <c r="D11" s="38">
        <v>1.143821973751861E-3</v>
      </c>
      <c r="E11" s="38">
        <v>9.7975533449746978E-5</v>
      </c>
      <c r="F11" s="38">
        <v>4.0366443448871126E-4</v>
      </c>
      <c r="G11" s="38">
        <v>2.3337349580477744E-3</v>
      </c>
      <c r="H11" s="38">
        <v>6.304793757238692E-4</v>
      </c>
      <c r="I11" s="38">
        <v>1.0052192670412021</v>
      </c>
      <c r="J11" s="38">
        <v>8.4546970328005654E-4</v>
      </c>
      <c r="K11" s="38">
        <v>3.7358784989536629E-3</v>
      </c>
      <c r="L11" s="38">
        <v>1.5559431623599171E-3</v>
      </c>
      <c r="M11" s="38">
        <v>9.5803915046250662E-5</v>
      </c>
      <c r="N11" s="38">
        <v>3.0347848700956379E-4</v>
      </c>
      <c r="O11" s="38">
        <v>2.4083824676045777E-4</v>
      </c>
      <c r="P11" s="38">
        <v>1.2665653906409989E-4</v>
      </c>
      <c r="Q11" s="38">
        <v>1.0867699388856752E-4</v>
      </c>
      <c r="R11" s="38">
        <v>2.432925485167311E-4</v>
      </c>
      <c r="S11" s="38">
        <v>3.0282943113386413E-4</v>
      </c>
      <c r="T11" s="38">
        <v>2.5837870170900001E-4</v>
      </c>
      <c r="U11" s="38">
        <v>2.7750669316496408E-4</v>
      </c>
      <c r="V11" s="38">
        <v>3.1282178002752789E-4</v>
      </c>
      <c r="W11" s="38">
        <v>7.3781694938251561E-4</v>
      </c>
      <c r="X11" s="38">
        <v>1.6664673338467569E-4</v>
      </c>
      <c r="Y11" s="38">
        <v>3.9641864200441984E-5</v>
      </c>
      <c r="Z11" s="38">
        <v>2.6569057482607027E-4</v>
      </c>
      <c r="AA11" s="38">
        <v>3.7139380114008274E-4</v>
      </c>
      <c r="AB11" s="38">
        <v>2.0727795120306114E-5</v>
      </c>
      <c r="AC11" s="38">
        <v>2.6235596947604034E-5</v>
      </c>
      <c r="AD11" s="38">
        <v>7.7927539055419945E-6</v>
      </c>
      <c r="AE11" s="38">
        <v>4.4421193593317118E-5</v>
      </c>
      <c r="AF11" s="38">
        <v>5.6809676126358363E-5</v>
      </c>
      <c r="AG11" s="38">
        <v>4.9107792653023421E-5</v>
      </c>
      <c r="AH11" s="38">
        <v>2.6080718955774602E-4</v>
      </c>
      <c r="AI11" s="38">
        <v>3.2413468626956965E-3</v>
      </c>
      <c r="AJ11" s="38">
        <v>8.7850229291007263E-5</v>
      </c>
      <c r="AK11" s="38">
        <v>1.2128666355116633E-4</v>
      </c>
      <c r="AL11" s="38">
        <v>2.3999435896146658E-4</v>
      </c>
      <c r="AM11" s="38">
        <v>3.5520439789384723E-4</v>
      </c>
      <c r="AN11" s="38">
        <v>1.0362617104232748E-4</v>
      </c>
      <c r="AO11" s="64">
        <v>1.0244329186218517</v>
      </c>
      <c r="AP11" s="65">
        <v>0.79212541869367326</v>
      </c>
    </row>
    <row r="12" spans="1:42">
      <c r="A12" s="10">
        <v>7</v>
      </c>
      <c r="B12" s="10" t="s">
        <v>87</v>
      </c>
      <c r="C12" s="12" t="s">
        <v>88</v>
      </c>
      <c r="D12" s="38">
        <v>8.3854778103643868E-4</v>
      </c>
      <c r="E12" s="38">
        <v>2.2427890062072927E-3</v>
      </c>
      <c r="F12" s="38">
        <v>3.8401153552654099E-4</v>
      </c>
      <c r="G12" s="38">
        <v>2.9269143473760142E-4</v>
      </c>
      <c r="H12" s="38">
        <v>3.4560260786748842E-4</v>
      </c>
      <c r="I12" s="38">
        <v>3.2975019549806031E-4</v>
      </c>
      <c r="J12" s="38">
        <v>1.0082664916532229</v>
      </c>
      <c r="K12" s="38">
        <v>1.3597429607680933E-4</v>
      </c>
      <c r="L12" s="38">
        <v>1.423574726554391E-3</v>
      </c>
      <c r="M12" s="38">
        <v>6.0180566623892142E-4</v>
      </c>
      <c r="N12" s="38">
        <v>4.0116414458986522E-4</v>
      </c>
      <c r="O12" s="38">
        <v>3.2253084309242017E-4</v>
      </c>
      <c r="P12" s="38">
        <v>1.6691794505360456E-4</v>
      </c>
      <c r="Q12" s="38">
        <v>1.446090152653649E-4</v>
      </c>
      <c r="R12" s="38">
        <v>2.0866558545484977E-4</v>
      </c>
      <c r="S12" s="38">
        <v>1.630169674858362E-4</v>
      </c>
      <c r="T12" s="38">
        <v>1.3424663950018141E-4</v>
      </c>
      <c r="U12" s="38">
        <v>1.2167195734706381E-4</v>
      </c>
      <c r="V12" s="38">
        <v>2.0250537227614184E-4</v>
      </c>
      <c r="W12" s="38">
        <v>4.8127515061711885E-4</v>
      </c>
      <c r="X12" s="38">
        <v>7.037404955937285E-4</v>
      </c>
      <c r="Y12" s="38">
        <v>3.0614831756691342E-4</v>
      </c>
      <c r="Z12" s="38">
        <v>6.6004780711156083E-4</v>
      </c>
      <c r="AA12" s="38">
        <v>7.8841594129185858E-4</v>
      </c>
      <c r="AB12" s="38">
        <v>3.2752425784426698E-4</v>
      </c>
      <c r="AC12" s="38">
        <v>2.1189489513792137E-4</v>
      </c>
      <c r="AD12" s="38">
        <v>5.2935614666719318E-5</v>
      </c>
      <c r="AE12" s="38">
        <v>4.7391724084478431E-3</v>
      </c>
      <c r="AF12" s="38">
        <v>1.9349386336718873E-4</v>
      </c>
      <c r="AG12" s="38">
        <v>4.3952551498467553E-4</v>
      </c>
      <c r="AH12" s="38">
        <v>2.8765786587007944E-4</v>
      </c>
      <c r="AI12" s="38">
        <v>2.0202196677959411E-4</v>
      </c>
      <c r="AJ12" s="38">
        <v>3.3092971182139012E-4</v>
      </c>
      <c r="AK12" s="38">
        <v>1.7836219310437049E-4</v>
      </c>
      <c r="AL12" s="38">
        <v>4.4394128738073504E-4</v>
      </c>
      <c r="AM12" s="38">
        <v>3.5247447419263804E-4</v>
      </c>
      <c r="AN12" s="38">
        <v>6.0306548641729833E-4</v>
      </c>
      <c r="AO12" s="64">
        <v>1.0280291946252278</v>
      </c>
      <c r="AP12" s="65">
        <v>0.79490617825648058</v>
      </c>
    </row>
    <row r="13" spans="1:42">
      <c r="A13" s="10">
        <v>8</v>
      </c>
      <c r="B13" s="10" t="s">
        <v>89</v>
      </c>
      <c r="C13" s="12" t="s">
        <v>182</v>
      </c>
      <c r="D13" s="38">
        <v>1.9354289472707966E-3</v>
      </c>
      <c r="E13" s="38">
        <v>7.5249541817604224E-4</v>
      </c>
      <c r="F13" s="38">
        <v>3.7064763034942083E-3</v>
      </c>
      <c r="G13" s="38">
        <v>1.3777520202714797E-3</v>
      </c>
      <c r="H13" s="38">
        <v>2.0234905537078671E-3</v>
      </c>
      <c r="I13" s="38">
        <v>5.7750112487644891E-3</v>
      </c>
      <c r="J13" s="38">
        <v>2.2000373958643365E-4</v>
      </c>
      <c r="K13" s="38">
        <v>1.0232836002983998</v>
      </c>
      <c r="L13" s="38">
        <v>5.9796639935274956E-4</v>
      </c>
      <c r="M13" s="38">
        <v>1.7302626424927164E-4</v>
      </c>
      <c r="N13" s="38">
        <v>1.0546465134736041E-3</v>
      </c>
      <c r="O13" s="38">
        <v>4.5338523268878984E-4</v>
      </c>
      <c r="P13" s="38">
        <v>1.4717337321323097E-3</v>
      </c>
      <c r="Q13" s="38">
        <v>2.2355907296072348E-3</v>
      </c>
      <c r="R13" s="38">
        <v>4.734374186903049E-3</v>
      </c>
      <c r="S13" s="38">
        <v>1.6174347524756509E-3</v>
      </c>
      <c r="T13" s="38">
        <v>2.9862895270666412E-3</v>
      </c>
      <c r="U13" s="38">
        <v>5.0796024813780484E-3</v>
      </c>
      <c r="V13" s="38">
        <v>5.2732349263808669E-3</v>
      </c>
      <c r="W13" s="38">
        <v>5.3445174366795233E-3</v>
      </c>
      <c r="X13" s="38">
        <v>1.7662233898194967E-3</v>
      </c>
      <c r="Y13" s="38">
        <v>3.0436497897150152E-4</v>
      </c>
      <c r="Z13" s="38">
        <v>4.9349939012097513E-3</v>
      </c>
      <c r="AA13" s="38">
        <v>2.4228944755753856E-3</v>
      </c>
      <c r="AB13" s="38">
        <v>8.5154584908916377E-4</v>
      </c>
      <c r="AC13" s="38">
        <v>5.5872720812004373E-4</v>
      </c>
      <c r="AD13" s="38">
        <v>1.5972402866901712E-4</v>
      </c>
      <c r="AE13" s="38">
        <v>8.7592810178658339E-4</v>
      </c>
      <c r="AF13" s="38">
        <v>6.3014120049463562E-4</v>
      </c>
      <c r="AG13" s="38">
        <v>4.5889758317157206E-4</v>
      </c>
      <c r="AH13" s="38">
        <v>7.7084059179863816E-4</v>
      </c>
      <c r="AI13" s="38">
        <v>4.5793349901608827E-4</v>
      </c>
      <c r="AJ13" s="38">
        <v>1.1327225456100659E-3</v>
      </c>
      <c r="AK13" s="38">
        <v>1.5645377386692247E-3</v>
      </c>
      <c r="AL13" s="38">
        <v>6.550807772234689E-4</v>
      </c>
      <c r="AM13" s="38">
        <v>5.6303115896198042E-3</v>
      </c>
      <c r="AN13" s="38">
        <v>4.3488166082803116E-4</v>
      </c>
      <c r="AO13" s="64">
        <v>1.0937058098317309</v>
      </c>
      <c r="AP13" s="65">
        <v>0.84568950957389033</v>
      </c>
    </row>
    <row r="14" spans="1:42">
      <c r="A14" s="10">
        <v>9</v>
      </c>
      <c r="B14" s="10" t="s">
        <v>91</v>
      </c>
      <c r="C14" s="12" t="s">
        <v>92</v>
      </c>
      <c r="D14" s="38">
        <v>1.3798094004115137E-3</v>
      </c>
      <c r="E14" s="38">
        <v>2.6677487432101609E-4</v>
      </c>
      <c r="F14" s="38">
        <v>1.0790158929329795E-3</v>
      </c>
      <c r="G14" s="38">
        <v>3.2862089556022825E-4</v>
      </c>
      <c r="H14" s="38">
        <v>7.4812087624755565E-4</v>
      </c>
      <c r="I14" s="38">
        <v>4.7307588900647492E-3</v>
      </c>
      <c r="J14" s="38">
        <v>9.2869331210300166E-3</v>
      </c>
      <c r="K14" s="38">
        <v>1.2661390571632354E-3</v>
      </c>
      <c r="L14" s="38">
        <v>1.0315939404453933</v>
      </c>
      <c r="M14" s="38">
        <v>2.1791502341517357E-3</v>
      </c>
      <c r="N14" s="38">
        <v>7.9824710797962422E-3</v>
      </c>
      <c r="O14" s="38">
        <v>2.2999399808883662E-3</v>
      </c>
      <c r="P14" s="38">
        <v>3.2049850959264244E-3</v>
      </c>
      <c r="Q14" s="38">
        <v>1.6837957053782099E-3</v>
      </c>
      <c r="R14" s="38">
        <v>1.663373096952012E-2</v>
      </c>
      <c r="S14" s="38">
        <v>1.740686064249411E-2</v>
      </c>
      <c r="T14" s="38">
        <v>3.0592822330919992E-3</v>
      </c>
      <c r="U14" s="38">
        <v>1.3467791520175765E-3</v>
      </c>
      <c r="V14" s="38">
        <v>1.0546119783850323E-3</v>
      </c>
      <c r="W14" s="38">
        <v>2.2432818232242645E-3</v>
      </c>
      <c r="X14" s="38">
        <v>1.8657220601777859E-2</v>
      </c>
      <c r="Y14" s="38">
        <v>5.699962716860592E-4</v>
      </c>
      <c r="Z14" s="38">
        <v>3.1606490380403926E-3</v>
      </c>
      <c r="AA14" s="38">
        <v>3.7887547516752602E-4</v>
      </c>
      <c r="AB14" s="38">
        <v>2.6465561978797629E-4</v>
      </c>
      <c r="AC14" s="38">
        <v>2.0249928928194784E-4</v>
      </c>
      <c r="AD14" s="38">
        <v>3.2595120913660761E-4</v>
      </c>
      <c r="AE14" s="38">
        <v>4.5866018499001783E-4</v>
      </c>
      <c r="AF14" s="38">
        <v>2.5740115650967261E-4</v>
      </c>
      <c r="AG14" s="38">
        <v>3.6095324374413459E-4</v>
      </c>
      <c r="AH14" s="38">
        <v>9.0797620720044821E-4</v>
      </c>
      <c r="AI14" s="38">
        <v>5.0708136069765072E-4</v>
      </c>
      <c r="AJ14" s="38">
        <v>3.4338115644740069E-4</v>
      </c>
      <c r="AK14" s="38">
        <v>6.2350072928367959E-4</v>
      </c>
      <c r="AL14" s="38">
        <v>6.1530324654716277E-4</v>
      </c>
      <c r="AM14" s="38">
        <v>2.3058157687029248E-3</v>
      </c>
      <c r="AN14" s="38">
        <v>1.3446300270034107E-3</v>
      </c>
      <c r="AO14" s="64">
        <v>1.1410595529340037</v>
      </c>
      <c r="AP14" s="65">
        <v>0.88230499009950836</v>
      </c>
    </row>
    <row r="15" spans="1:42">
      <c r="A15" s="10">
        <v>10</v>
      </c>
      <c r="B15" s="10" t="s">
        <v>93</v>
      </c>
      <c r="C15" s="12" t="s">
        <v>94</v>
      </c>
      <c r="D15" s="38">
        <v>3.8517181085853375E-5</v>
      </c>
      <c r="E15" s="38">
        <v>1.8088110381330748E-4</v>
      </c>
      <c r="F15" s="38">
        <v>6.5977036923477048E-5</v>
      </c>
      <c r="G15" s="38">
        <v>3.2097220293970031E-5</v>
      </c>
      <c r="H15" s="38">
        <v>8.3149629138588551E-4</v>
      </c>
      <c r="I15" s="38">
        <v>8.0149568456428286E-5</v>
      </c>
      <c r="J15" s="38">
        <v>2.1973056544398579E-5</v>
      </c>
      <c r="K15" s="38">
        <v>1.2675553667612481E-4</v>
      </c>
      <c r="L15" s="38">
        <v>2.8822743427022704E-4</v>
      </c>
      <c r="M15" s="38">
        <v>1.02054547507621</v>
      </c>
      <c r="N15" s="38">
        <v>1.2781032403467335E-4</v>
      </c>
      <c r="O15" s="38">
        <v>1.2231877781275116E-2</v>
      </c>
      <c r="P15" s="38">
        <v>5.5287062118260667E-3</v>
      </c>
      <c r="Q15" s="38">
        <v>5.1147086009525585E-3</v>
      </c>
      <c r="R15" s="38">
        <v>1.1108373690234571E-3</v>
      </c>
      <c r="S15" s="38">
        <v>5.2911389598418225E-4</v>
      </c>
      <c r="T15" s="38">
        <v>2.5450784445853487E-3</v>
      </c>
      <c r="U15" s="38">
        <v>6.7303929547115639E-4</v>
      </c>
      <c r="V15" s="38">
        <v>3.1895416657106669E-3</v>
      </c>
      <c r="W15" s="38">
        <v>4.4288119909023427E-4</v>
      </c>
      <c r="X15" s="38">
        <v>1.4157082046170198E-3</v>
      </c>
      <c r="Y15" s="38">
        <v>4.6141667659575092E-5</v>
      </c>
      <c r="Z15" s="38">
        <v>1.0290348042957609E-4</v>
      </c>
      <c r="AA15" s="38">
        <v>1.7850429864104307E-5</v>
      </c>
      <c r="AB15" s="38">
        <v>2.6833947148944627E-5</v>
      </c>
      <c r="AC15" s="38">
        <v>1.9770930741049077E-5</v>
      </c>
      <c r="AD15" s="38">
        <v>2.4400172940484829E-5</v>
      </c>
      <c r="AE15" s="38">
        <v>4.5138824394122961E-5</v>
      </c>
      <c r="AF15" s="38">
        <v>2.7089764085009075E-5</v>
      </c>
      <c r="AG15" s="38">
        <v>3.4268654748182475E-5</v>
      </c>
      <c r="AH15" s="38">
        <v>2.4042666758012969E-5</v>
      </c>
      <c r="AI15" s="38">
        <v>1.8122194638044052E-5</v>
      </c>
      <c r="AJ15" s="38">
        <v>3.1884431793987191E-5</v>
      </c>
      <c r="AK15" s="38">
        <v>5.502446070797575E-5</v>
      </c>
      <c r="AL15" s="38">
        <v>2.8357602480695344E-5</v>
      </c>
      <c r="AM15" s="38">
        <v>1.4685032446641163E-4</v>
      </c>
      <c r="AN15" s="38">
        <v>1.8408465101323268E-4</v>
      </c>
      <c r="AO15" s="64">
        <v>1.0559536167020995</v>
      </c>
      <c r="AP15" s="65">
        <v>0.81649826508553125</v>
      </c>
    </row>
    <row r="16" spans="1:42">
      <c r="A16" s="10">
        <v>11</v>
      </c>
      <c r="B16" s="10" t="s">
        <v>95</v>
      </c>
      <c r="C16" s="12" t="s">
        <v>96</v>
      </c>
      <c r="D16" s="38">
        <v>1.6202551771686923E-5</v>
      </c>
      <c r="E16" s="38">
        <v>2.1620534387400643E-5</v>
      </c>
      <c r="F16" s="38">
        <v>1.1464651682281821E-4</v>
      </c>
      <c r="G16" s="38">
        <v>1.7624120566197016E-5</v>
      </c>
      <c r="H16" s="38">
        <v>2.2080210422537985E-4</v>
      </c>
      <c r="I16" s="38">
        <v>2.9158984167367577E-4</v>
      </c>
      <c r="J16" s="38">
        <v>1.8004520949804178E-5</v>
      </c>
      <c r="K16" s="38">
        <v>1.7428089888999832E-4</v>
      </c>
      <c r="L16" s="38">
        <v>8.1282943277688772E-4</v>
      </c>
      <c r="M16" s="38">
        <v>9.4138072297414975E-5</v>
      </c>
      <c r="N16" s="38">
        <v>1.0318140426720936</v>
      </c>
      <c r="O16" s="38">
        <v>2.4229097649557372E-3</v>
      </c>
      <c r="P16" s="38">
        <v>1.9505222255896014E-3</v>
      </c>
      <c r="Q16" s="38">
        <v>1.28280575186873E-3</v>
      </c>
      <c r="R16" s="38">
        <v>2.510050762937012E-3</v>
      </c>
      <c r="S16" s="38">
        <v>3.5814278900334418E-3</v>
      </c>
      <c r="T16" s="38">
        <v>3.5711809454178687E-3</v>
      </c>
      <c r="U16" s="38">
        <v>2.816256630247425E-3</v>
      </c>
      <c r="V16" s="38">
        <v>2.4094373137880805E-3</v>
      </c>
      <c r="W16" s="38">
        <v>1.037559928890569E-3</v>
      </c>
      <c r="X16" s="38">
        <v>5.9942661189260496E-4</v>
      </c>
      <c r="Y16" s="38">
        <v>8.5450586396336616E-5</v>
      </c>
      <c r="Z16" s="38">
        <v>6.595389935796974E-5</v>
      </c>
      <c r="AA16" s="38">
        <v>1.5316023321739709E-5</v>
      </c>
      <c r="AB16" s="38">
        <v>1.6316607614734939E-5</v>
      </c>
      <c r="AC16" s="38">
        <v>1.8079920584164425E-5</v>
      </c>
      <c r="AD16" s="38">
        <v>1.1530193201647141E-5</v>
      </c>
      <c r="AE16" s="38">
        <v>2.1343438090114436E-5</v>
      </c>
      <c r="AF16" s="38">
        <v>3.0653354688633295E-5</v>
      </c>
      <c r="AG16" s="38">
        <v>2.7505176156222E-5</v>
      </c>
      <c r="AH16" s="38">
        <v>2.6979261137413526E-5</v>
      </c>
      <c r="AI16" s="38">
        <v>1.0890691770887998E-4</v>
      </c>
      <c r="AJ16" s="38">
        <v>4.1258582685756332E-5</v>
      </c>
      <c r="AK16" s="38">
        <v>5.2867130478860647E-5</v>
      </c>
      <c r="AL16" s="38">
        <v>4.1904636632868246E-5</v>
      </c>
      <c r="AM16" s="38">
        <v>1.6889015157288938E-4</v>
      </c>
      <c r="AN16" s="38">
        <v>1.500972138823354E-4</v>
      </c>
      <c r="AO16" s="64">
        <v>1.0566604121855865</v>
      </c>
      <c r="AP16" s="65">
        <v>0.81704478273262238</v>
      </c>
    </row>
    <row r="17" spans="1:42">
      <c r="A17" s="10">
        <v>12</v>
      </c>
      <c r="B17" s="10" t="s">
        <v>97</v>
      </c>
      <c r="C17" s="12" t="s">
        <v>98</v>
      </c>
      <c r="D17" s="38">
        <v>1.0727070471092171E-3</v>
      </c>
      <c r="E17" s="38">
        <v>3.0127866361480348E-3</v>
      </c>
      <c r="F17" s="38">
        <v>4.37068494838433E-3</v>
      </c>
      <c r="G17" s="38">
        <v>6.549020322929801E-4</v>
      </c>
      <c r="H17" s="38">
        <v>4.7669028826002238E-3</v>
      </c>
      <c r="I17" s="38">
        <v>5.3573241808486686E-3</v>
      </c>
      <c r="J17" s="38">
        <v>3.6257185223890478E-4</v>
      </c>
      <c r="K17" s="38">
        <v>1.3101200577066395E-3</v>
      </c>
      <c r="L17" s="38">
        <v>2.8963395476502636E-3</v>
      </c>
      <c r="M17" s="38">
        <v>2.3167015362136191E-3</v>
      </c>
      <c r="N17" s="38">
        <v>1.7045415761003388E-3</v>
      </c>
      <c r="O17" s="38">
        <v>1.0194656983812094</v>
      </c>
      <c r="P17" s="38">
        <v>1.0896199350810628E-2</v>
      </c>
      <c r="Q17" s="38">
        <v>9.6610784090715024E-3</v>
      </c>
      <c r="R17" s="38">
        <v>1.1407190512317566E-2</v>
      </c>
      <c r="S17" s="38">
        <v>7.9730543299086735E-3</v>
      </c>
      <c r="T17" s="38">
        <v>8.6741020439889526E-3</v>
      </c>
      <c r="U17" s="38">
        <v>9.494197238790995E-3</v>
      </c>
      <c r="V17" s="38">
        <v>3.8109893226269875E-3</v>
      </c>
      <c r="W17" s="38">
        <v>3.9953658160684436E-3</v>
      </c>
      <c r="X17" s="38">
        <v>2.3728935671395026E-2</v>
      </c>
      <c r="Y17" s="38">
        <v>9.1868038291215788E-4</v>
      </c>
      <c r="Z17" s="38">
        <v>1.7071098767085038E-3</v>
      </c>
      <c r="AA17" s="38">
        <v>3.0530255890055228E-4</v>
      </c>
      <c r="AB17" s="38">
        <v>1.0180021870742719E-3</v>
      </c>
      <c r="AC17" s="38">
        <v>2.9016179970283665E-4</v>
      </c>
      <c r="AD17" s="38">
        <v>4.7222398752120773E-4</v>
      </c>
      <c r="AE17" s="38">
        <v>7.9543686549652325E-4</v>
      </c>
      <c r="AF17" s="38">
        <v>4.7886527551696897E-4</v>
      </c>
      <c r="AG17" s="38">
        <v>1.1516019696218903E-3</v>
      </c>
      <c r="AH17" s="38">
        <v>3.9656878902258834E-4</v>
      </c>
      <c r="AI17" s="38">
        <v>3.7377415618453959E-4</v>
      </c>
      <c r="AJ17" s="38">
        <v>9.4438064347326337E-4</v>
      </c>
      <c r="AK17" s="38">
        <v>5.8207431904033335E-4</v>
      </c>
      <c r="AL17" s="38">
        <v>1.0767711104066561E-3</v>
      </c>
      <c r="AM17" s="38">
        <v>1.2170823123314918E-3</v>
      </c>
      <c r="AN17" s="38">
        <v>1.4340042218293442E-3</v>
      </c>
      <c r="AO17" s="64">
        <v>1.1500944338292245</v>
      </c>
      <c r="AP17" s="65">
        <v>0.88929105886192383</v>
      </c>
    </row>
    <row r="18" spans="1:42">
      <c r="A18" s="10">
        <v>13</v>
      </c>
      <c r="B18" s="10" t="s">
        <v>99</v>
      </c>
      <c r="C18" s="12" t="s">
        <v>183</v>
      </c>
      <c r="D18" s="38">
        <v>4.0694985895906892E-5</v>
      </c>
      <c r="E18" s="38">
        <v>6.0240636882127787E-4</v>
      </c>
      <c r="F18" s="38">
        <v>5.3982822939784757E-5</v>
      </c>
      <c r="G18" s="38">
        <v>4.4198307360800981E-5</v>
      </c>
      <c r="H18" s="38">
        <v>5.4886823019848924E-5</v>
      </c>
      <c r="I18" s="38">
        <v>6.7055042949698798E-5</v>
      </c>
      <c r="J18" s="38">
        <v>4.7125945540820418E-5</v>
      </c>
      <c r="K18" s="38">
        <v>9.2895461625469496E-5</v>
      </c>
      <c r="L18" s="38">
        <v>2.5248222346665279E-4</v>
      </c>
      <c r="M18" s="38">
        <v>1.4287618967372649E-4</v>
      </c>
      <c r="N18" s="38">
        <v>4.5242674352504879E-5</v>
      </c>
      <c r="O18" s="38">
        <v>1.5359372225148536E-4</v>
      </c>
      <c r="P18" s="38">
        <v>1.01700216928249</v>
      </c>
      <c r="Q18" s="38">
        <v>4.6743564522544034E-3</v>
      </c>
      <c r="R18" s="38">
        <v>1.4933170299354255E-3</v>
      </c>
      <c r="S18" s="38">
        <v>2.8606497103092731E-4</v>
      </c>
      <c r="T18" s="38">
        <v>1.4202542075067964E-3</v>
      </c>
      <c r="U18" s="38">
        <v>1.9369733923720812E-4</v>
      </c>
      <c r="V18" s="38">
        <v>1.319622117960227E-3</v>
      </c>
      <c r="W18" s="38">
        <v>5.0308555761688399E-4</v>
      </c>
      <c r="X18" s="38">
        <v>8.414325029486385E-4</v>
      </c>
      <c r="Y18" s="38">
        <v>1.5269299214604103E-4</v>
      </c>
      <c r="Z18" s="38">
        <v>1.6412921823855888E-3</v>
      </c>
      <c r="AA18" s="38">
        <v>7.6826120973517214E-5</v>
      </c>
      <c r="AB18" s="38">
        <v>7.3869125874390047E-5</v>
      </c>
      <c r="AC18" s="38">
        <v>9.5170824467954816E-5</v>
      </c>
      <c r="AD18" s="38">
        <v>3.1941715924001212E-5</v>
      </c>
      <c r="AE18" s="38">
        <v>1.6856600123469733E-4</v>
      </c>
      <c r="AF18" s="38">
        <v>1.183289217240735E-4</v>
      </c>
      <c r="AG18" s="38">
        <v>1.0029699438378002E-4</v>
      </c>
      <c r="AH18" s="38">
        <v>9.0123398913451457E-5</v>
      </c>
      <c r="AI18" s="38">
        <v>5.4450663834692615E-5</v>
      </c>
      <c r="AJ18" s="38">
        <v>7.3778734716883955E-5</v>
      </c>
      <c r="AK18" s="38">
        <v>9.3225246559008293E-4</v>
      </c>
      <c r="AL18" s="38">
        <v>6.5411355827896906E-5</v>
      </c>
      <c r="AM18" s="38">
        <v>6.4349812278031109E-5</v>
      </c>
      <c r="AN18" s="38">
        <v>5.5562786093439109E-5</v>
      </c>
      <c r="AO18" s="64">
        <v>1.0331263541252473</v>
      </c>
      <c r="AP18" s="65">
        <v>0.79884747058485783</v>
      </c>
    </row>
    <row r="19" spans="1:42">
      <c r="A19" s="10">
        <v>14</v>
      </c>
      <c r="B19" s="10" t="s">
        <v>100</v>
      </c>
      <c r="C19" s="12" t="s">
        <v>184</v>
      </c>
      <c r="D19" s="38">
        <v>9.2553753293591099E-5</v>
      </c>
      <c r="E19" s="38">
        <v>3.36405091756329E-4</v>
      </c>
      <c r="F19" s="38">
        <v>1.2943764507984061E-4</v>
      </c>
      <c r="G19" s="38">
        <v>9.6986932150190962E-5</v>
      </c>
      <c r="H19" s="38">
        <v>1.0449005099029022E-4</v>
      </c>
      <c r="I19" s="38">
        <v>1.5823709528808489E-4</v>
      </c>
      <c r="J19" s="38">
        <v>1.1833451358610142E-4</v>
      </c>
      <c r="K19" s="38">
        <v>7.819344781517791E-4</v>
      </c>
      <c r="L19" s="38">
        <v>4.7785397547023641E-4</v>
      </c>
      <c r="M19" s="38">
        <v>3.2034075637807591E-4</v>
      </c>
      <c r="N19" s="38">
        <v>1.364715220087469E-4</v>
      </c>
      <c r="O19" s="38">
        <v>1.9628999641484158E-4</v>
      </c>
      <c r="P19" s="38">
        <v>1.0908778948160204E-3</v>
      </c>
      <c r="Q19" s="38">
        <v>1.0307699767851726</v>
      </c>
      <c r="R19" s="38">
        <v>3.9873045093298315E-4</v>
      </c>
      <c r="S19" s="38">
        <v>6.1532792124092538E-4</v>
      </c>
      <c r="T19" s="38">
        <v>6.8366284261180165E-4</v>
      </c>
      <c r="U19" s="38">
        <v>2.3288295545638245E-4</v>
      </c>
      <c r="V19" s="38">
        <v>2.801375721951513E-4</v>
      </c>
      <c r="W19" s="38">
        <v>2.5885631864553657E-4</v>
      </c>
      <c r="X19" s="38">
        <v>2.2774960454567919E-4</v>
      </c>
      <c r="Y19" s="38">
        <v>3.5540725653068533E-4</v>
      </c>
      <c r="Z19" s="38">
        <v>4.050876925651104E-4</v>
      </c>
      <c r="AA19" s="38">
        <v>1.5844344550815454E-4</v>
      </c>
      <c r="AB19" s="38">
        <v>1.7142420950593334E-4</v>
      </c>
      <c r="AC19" s="38">
        <v>2.3571284700334087E-4</v>
      </c>
      <c r="AD19" s="38">
        <v>5.3643241202468752E-5</v>
      </c>
      <c r="AE19" s="38">
        <v>3.7857287330812203E-4</v>
      </c>
      <c r="AF19" s="38">
        <v>2.8492810545095493E-4</v>
      </c>
      <c r="AG19" s="38">
        <v>1.6787665432331105E-4</v>
      </c>
      <c r="AH19" s="38">
        <v>1.8720617743910628E-4</v>
      </c>
      <c r="AI19" s="38">
        <v>1.0505504075893104E-4</v>
      </c>
      <c r="AJ19" s="38">
        <v>1.6575479449098461E-4</v>
      </c>
      <c r="AK19" s="38">
        <v>2.5743862613078002E-3</v>
      </c>
      <c r="AL19" s="38">
        <v>1.1730205681097283E-4</v>
      </c>
      <c r="AM19" s="38">
        <v>7.9910033867850282E-5</v>
      </c>
      <c r="AN19" s="38">
        <v>1.0045921097052339E-4</v>
      </c>
      <c r="AO19" s="64">
        <v>1.0430487080572295</v>
      </c>
      <c r="AP19" s="65">
        <v>0.80651976285497706</v>
      </c>
    </row>
    <row r="20" spans="1:42">
      <c r="A20" s="10">
        <v>15</v>
      </c>
      <c r="B20" s="10" t="s">
        <v>101</v>
      </c>
      <c r="C20" s="12" t="s">
        <v>185</v>
      </c>
      <c r="D20" s="38">
        <v>5.7059493678672876E-5</v>
      </c>
      <c r="E20" s="38">
        <v>9.6134776978511815E-5</v>
      </c>
      <c r="F20" s="38">
        <v>7.3953352770137227E-5</v>
      </c>
      <c r="G20" s="38">
        <v>6.5824242712986101E-5</v>
      </c>
      <c r="H20" s="38">
        <v>5.434835251642385E-5</v>
      </c>
      <c r="I20" s="38">
        <v>8.1171010770859871E-5</v>
      </c>
      <c r="J20" s="38">
        <v>4.6218434360983715E-5</v>
      </c>
      <c r="K20" s="38">
        <v>5.2596248253311519E-5</v>
      </c>
      <c r="L20" s="38">
        <v>8.0626925429931116E-5</v>
      </c>
      <c r="M20" s="38">
        <v>4.3027637717727109E-5</v>
      </c>
      <c r="N20" s="38">
        <v>4.2212904947760853E-5</v>
      </c>
      <c r="O20" s="38">
        <v>5.0351789232775514E-5</v>
      </c>
      <c r="P20" s="38">
        <v>6.1095161814210173E-4</v>
      </c>
      <c r="Q20" s="38">
        <v>1.2476914874545489E-3</v>
      </c>
      <c r="R20" s="38">
        <v>1.02270891752903</v>
      </c>
      <c r="S20" s="38">
        <v>7.7366807830679321E-5</v>
      </c>
      <c r="T20" s="38">
        <v>2.2312212134307119E-4</v>
      </c>
      <c r="U20" s="38">
        <v>2.2295305157822145E-4</v>
      </c>
      <c r="V20" s="38">
        <v>1.1560986500804306E-4</v>
      </c>
      <c r="W20" s="38">
        <v>9.9121160333611054E-5</v>
      </c>
      <c r="X20" s="38">
        <v>1.4747643595401687E-4</v>
      </c>
      <c r="Y20" s="38">
        <v>1.5608958802614998E-4</v>
      </c>
      <c r="Z20" s="38">
        <v>1.9022022296681456E-4</v>
      </c>
      <c r="AA20" s="38">
        <v>1.013361445427222E-4</v>
      </c>
      <c r="AB20" s="38">
        <v>3.3230796844089887E-4</v>
      </c>
      <c r="AC20" s="38">
        <v>1.3324442657157938E-4</v>
      </c>
      <c r="AD20" s="38">
        <v>2.8361571186566735E-5</v>
      </c>
      <c r="AE20" s="38">
        <v>1.8299380930001166E-4</v>
      </c>
      <c r="AF20" s="38">
        <v>1.8442732706138928E-4</v>
      </c>
      <c r="AG20" s="38">
        <v>7.2573930546945224E-4</v>
      </c>
      <c r="AH20" s="38">
        <v>1.1536716723654102E-4</v>
      </c>
      <c r="AI20" s="38">
        <v>3.1779411567296888E-3</v>
      </c>
      <c r="AJ20" s="38">
        <v>1.1227487337197731E-4</v>
      </c>
      <c r="AK20" s="38">
        <v>1.1038988091995553E-3</v>
      </c>
      <c r="AL20" s="38">
        <v>3.2328511638062468E-4</v>
      </c>
      <c r="AM20" s="38">
        <v>6.6848508557851814E-3</v>
      </c>
      <c r="AN20" s="38">
        <v>1.1720367946831855E-4</v>
      </c>
      <c r="AO20" s="64">
        <v>1.039866277267782</v>
      </c>
      <c r="AP20" s="65">
        <v>0.80405900210068004</v>
      </c>
    </row>
    <row r="21" spans="1:42">
      <c r="A21" s="10">
        <v>16</v>
      </c>
      <c r="B21" s="10" t="s">
        <v>102</v>
      </c>
      <c r="C21" s="12" t="s">
        <v>186</v>
      </c>
      <c r="D21" s="38">
        <v>3.0176446042714395E-5</v>
      </c>
      <c r="E21" s="38">
        <v>6.1802075836733624E-5</v>
      </c>
      <c r="F21" s="38">
        <v>4.4667522016480265E-5</v>
      </c>
      <c r="G21" s="38">
        <v>4.2693759743254073E-5</v>
      </c>
      <c r="H21" s="38">
        <v>3.430287257783701E-5</v>
      </c>
      <c r="I21" s="38">
        <v>5.1717679289649629E-5</v>
      </c>
      <c r="J21" s="38">
        <v>2.8519926897653709E-5</v>
      </c>
      <c r="K21" s="38">
        <v>3.2354894406593048E-5</v>
      </c>
      <c r="L21" s="38">
        <v>4.986040328254151E-5</v>
      </c>
      <c r="M21" s="38">
        <v>2.7211955870769951E-5</v>
      </c>
      <c r="N21" s="38">
        <v>6.354125878051299E-5</v>
      </c>
      <c r="O21" s="38">
        <v>6.3836939741125428E-5</v>
      </c>
      <c r="P21" s="38">
        <v>3.4371991829995071E-4</v>
      </c>
      <c r="Q21" s="38">
        <v>7.403949335427107E-4</v>
      </c>
      <c r="R21" s="38">
        <v>7.1267711958282812E-3</v>
      </c>
      <c r="S21" s="38">
        <v>1.0182061751849438</v>
      </c>
      <c r="T21" s="38">
        <v>1.1573880615662942E-2</v>
      </c>
      <c r="U21" s="38">
        <v>1.822790237928407E-2</v>
      </c>
      <c r="V21" s="38">
        <v>9.8481955639824373E-4</v>
      </c>
      <c r="W21" s="38">
        <v>1.3087243029786646E-3</v>
      </c>
      <c r="X21" s="38">
        <v>9.3660890291621303E-5</v>
      </c>
      <c r="Y21" s="38">
        <v>1.0927560077971713E-4</v>
      </c>
      <c r="Z21" s="38">
        <v>1.0731024051916563E-4</v>
      </c>
      <c r="AA21" s="38">
        <v>5.6966784234261958E-5</v>
      </c>
      <c r="AB21" s="38">
        <v>6.3750841773454277E-5</v>
      </c>
      <c r="AC21" s="38">
        <v>9.0898215682571842E-5</v>
      </c>
      <c r="AD21" s="38">
        <v>1.8554169001287983E-5</v>
      </c>
      <c r="AE21" s="38">
        <v>1.1671015665241227E-4</v>
      </c>
      <c r="AF21" s="38">
        <v>1.4813758328082645E-4</v>
      </c>
      <c r="AG21" s="38">
        <v>1.3341068277960438E-4</v>
      </c>
      <c r="AH21" s="38">
        <v>1.3938810221909774E-4</v>
      </c>
      <c r="AI21" s="38">
        <v>6.1002376652446953E-5</v>
      </c>
      <c r="AJ21" s="38">
        <v>8.1284994541151192E-5</v>
      </c>
      <c r="AK21" s="38">
        <v>7.664363890413651E-4</v>
      </c>
      <c r="AL21" s="38">
        <v>4.6034282015922971E-5</v>
      </c>
      <c r="AM21" s="38">
        <v>2.0340579134686828E-3</v>
      </c>
      <c r="AN21" s="38">
        <v>4.2317341168364869E-5</v>
      </c>
      <c r="AO21" s="64">
        <v>1.0631522703855263</v>
      </c>
      <c r="AP21" s="65">
        <v>0.82206450222938088</v>
      </c>
    </row>
    <row r="22" spans="1:42">
      <c r="A22" s="10">
        <v>17</v>
      </c>
      <c r="B22" s="10" t="s">
        <v>104</v>
      </c>
      <c r="C22" s="12" t="s">
        <v>105</v>
      </c>
      <c r="D22" s="38">
        <v>1.9875724855318999E-5</v>
      </c>
      <c r="E22" s="38">
        <v>3.9601466446602632E-5</v>
      </c>
      <c r="F22" s="38">
        <v>2.4715464842615785E-5</v>
      </c>
      <c r="G22" s="38">
        <v>2.1909819445110935E-5</v>
      </c>
      <c r="H22" s="38">
        <v>2.3135732409834585E-5</v>
      </c>
      <c r="I22" s="38">
        <v>2.9243239357945408E-5</v>
      </c>
      <c r="J22" s="38">
        <v>1.9808591365713411E-5</v>
      </c>
      <c r="K22" s="38">
        <v>2.2954229649508991E-5</v>
      </c>
      <c r="L22" s="38">
        <v>3.203912410246532E-5</v>
      </c>
      <c r="M22" s="38">
        <v>1.739508210727924E-5</v>
      </c>
      <c r="N22" s="38">
        <v>2.8140780039226162E-5</v>
      </c>
      <c r="O22" s="38">
        <v>3.2563163605377428E-5</v>
      </c>
      <c r="P22" s="38">
        <v>9.0332508502854103E-4</v>
      </c>
      <c r="Q22" s="38">
        <v>1.3943516898585772E-3</v>
      </c>
      <c r="R22" s="38">
        <v>9.6272272694036766E-4</v>
      </c>
      <c r="S22" s="38">
        <v>6.073664402270199E-4</v>
      </c>
      <c r="T22" s="38">
        <v>1.0043664778286403</v>
      </c>
      <c r="U22" s="38">
        <v>1.0649998000410532E-3</v>
      </c>
      <c r="V22" s="38">
        <v>3.1209989047900578E-3</v>
      </c>
      <c r="W22" s="38">
        <v>3.7279067324242862E-4</v>
      </c>
      <c r="X22" s="38">
        <v>4.8078010713782025E-4</v>
      </c>
      <c r="Y22" s="38">
        <v>7.0613224769279167E-5</v>
      </c>
      <c r="Z22" s="38">
        <v>9.7909485080282773E-5</v>
      </c>
      <c r="AA22" s="38">
        <v>3.0957935421435815E-5</v>
      </c>
      <c r="AB22" s="38">
        <v>4.470114327751956E-5</v>
      </c>
      <c r="AC22" s="38">
        <v>4.5267741983926467E-5</v>
      </c>
      <c r="AD22" s="38">
        <v>1.7018159187508673E-5</v>
      </c>
      <c r="AE22" s="38">
        <v>7.9070318552434295E-5</v>
      </c>
      <c r="AF22" s="38">
        <v>6.5374614904937706E-5</v>
      </c>
      <c r="AG22" s="38">
        <v>1.0645741601029979E-4</v>
      </c>
      <c r="AH22" s="38">
        <v>7.9189517875187494E-5</v>
      </c>
      <c r="AI22" s="38">
        <v>2.6939715853774147E-5</v>
      </c>
      <c r="AJ22" s="38">
        <v>3.5969683748158889E-5</v>
      </c>
      <c r="AK22" s="38">
        <v>4.3198308139817405E-4</v>
      </c>
      <c r="AL22" s="38">
        <v>3.1244474298321783E-5</v>
      </c>
      <c r="AM22" s="38">
        <v>4.1034641419310678E-5</v>
      </c>
      <c r="AN22" s="38">
        <v>4.6299692475705234E-5</v>
      </c>
      <c r="AO22" s="64">
        <v>1.0148352265203895</v>
      </c>
      <c r="AP22" s="65">
        <v>0.78470416569001999</v>
      </c>
    </row>
    <row r="23" spans="1:42">
      <c r="A23" s="10">
        <v>18</v>
      </c>
      <c r="B23" s="10" t="s">
        <v>106</v>
      </c>
      <c r="C23" s="12" t="s">
        <v>187</v>
      </c>
      <c r="D23" s="38">
        <v>7.4578173164730278E-6</v>
      </c>
      <c r="E23" s="38">
        <v>1.3868333453266816E-5</v>
      </c>
      <c r="F23" s="38">
        <v>9.2194120888388243E-6</v>
      </c>
      <c r="G23" s="38">
        <v>7.2036168775407561E-6</v>
      </c>
      <c r="H23" s="38">
        <v>6.7830037758467779E-6</v>
      </c>
      <c r="I23" s="38">
        <v>1.6598649796960193E-5</v>
      </c>
      <c r="J23" s="38">
        <v>1.8933520655248681E-5</v>
      </c>
      <c r="K23" s="38">
        <v>6.7545710320595731E-6</v>
      </c>
      <c r="L23" s="38">
        <v>1.1683308437895694E-5</v>
      </c>
      <c r="M23" s="38">
        <v>5.841073176112159E-6</v>
      </c>
      <c r="N23" s="38">
        <v>5.4496673551678531E-6</v>
      </c>
      <c r="O23" s="38">
        <v>1.0194151362079525E-5</v>
      </c>
      <c r="P23" s="38">
        <v>4.303357824693889E-5</v>
      </c>
      <c r="Q23" s="38">
        <v>3.0488398425935931E-5</v>
      </c>
      <c r="R23" s="38">
        <v>8.7258365971651452E-6</v>
      </c>
      <c r="S23" s="38">
        <v>1.0283012400781023E-5</v>
      </c>
      <c r="T23" s="38">
        <v>9.5187829700608374E-6</v>
      </c>
      <c r="U23" s="38">
        <v>1.0024170352630248</v>
      </c>
      <c r="V23" s="38">
        <v>1.2686503199611143E-5</v>
      </c>
      <c r="W23" s="38">
        <v>9.94215520552403E-6</v>
      </c>
      <c r="X23" s="38">
        <v>1.9227386433847489E-4</v>
      </c>
      <c r="Y23" s="38">
        <v>2.2592754116745164E-5</v>
      </c>
      <c r="Z23" s="38">
        <v>2.8005674405614799E-5</v>
      </c>
      <c r="AA23" s="38">
        <v>1.2849969278025399E-5</v>
      </c>
      <c r="AB23" s="38">
        <v>3.1785159246010226E-5</v>
      </c>
      <c r="AC23" s="38">
        <v>2.4422531625840349E-5</v>
      </c>
      <c r="AD23" s="38">
        <v>1.0568163331033566E-5</v>
      </c>
      <c r="AE23" s="38">
        <v>2.8256239969354177E-5</v>
      </c>
      <c r="AF23" s="38">
        <v>2.9332800898472199E-5</v>
      </c>
      <c r="AG23" s="38">
        <v>1.1887409152769508E-4</v>
      </c>
      <c r="AH23" s="38">
        <v>2.1121995447921917E-5</v>
      </c>
      <c r="AI23" s="38">
        <v>8.545347607046739E-6</v>
      </c>
      <c r="AJ23" s="38">
        <v>1.5704167787098831E-5</v>
      </c>
      <c r="AK23" s="38">
        <v>1.2345120024398801E-4</v>
      </c>
      <c r="AL23" s="38">
        <v>1.6512060089607237E-5</v>
      </c>
      <c r="AM23" s="38">
        <v>7.7685192041719884E-6</v>
      </c>
      <c r="AN23" s="38">
        <v>2.0222535594360533E-5</v>
      </c>
      <c r="AO23" s="64">
        <v>1.0033739877301098</v>
      </c>
      <c r="AP23" s="65">
        <v>0.7758419567444973</v>
      </c>
    </row>
    <row r="24" spans="1:42">
      <c r="A24" s="10">
        <v>19</v>
      </c>
      <c r="B24" s="10" t="s">
        <v>108</v>
      </c>
      <c r="C24" s="12" t="s">
        <v>109</v>
      </c>
      <c r="D24" s="38">
        <v>1.3209136099984848E-4</v>
      </c>
      <c r="E24" s="38">
        <v>3.3321522564692241E-4</v>
      </c>
      <c r="F24" s="38">
        <v>1.5788529640953328E-4</v>
      </c>
      <c r="G24" s="38">
        <v>1.1913209973061293E-4</v>
      </c>
      <c r="H24" s="38">
        <v>1.0435614970738694E-4</v>
      </c>
      <c r="I24" s="38">
        <v>1.8141650823278661E-4</v>
      </c>
      <c r="J24" s="38">
        <v>1.2075612040415431E-4</v>
      </c>
      <c r="K24" s="38">
        <v>1.1126243531735156E-4</v>
      </c>
      <c r="L24" s="38">
        <v>1.8920976411305351E-4</v>
      </c>
      <c r="M24" s="38">
        <v>9.5430613610924915E-5</v>
      </c>
      <c r="N24" s="38">
        <v>9.022804355727918E-5</v>
      </c>
      <c r="O24" s="38">
        <v>9.750811712378844E-5</v>
      </c>
      <c r="P24" s="38">
        <v>1.1068903934182462E-4</v>
      </c>
      <c r="Q24" s="38">
        <v>1.3429087759203725E-4</v>
      </c>
      <c r="R24" s="38">
        <v>1.1254681156879345E-4</v>
      </c>
      <c r="S24" s="38">
        <v>1.3097509989259663E-4</v>
      </c>
      <c r="T24" s="38">
        <v>1.1111406005507927E-4</v>
      </c>
      <c r="U24" s="38">
        <v>1.1117292748313592E-4</v>
      </c>
      <c r="V24" s="38">
        <v>1.0253804974535632</v>
      </c>
      <c r="W24" s="38">
        <v>1.5095351920328101E-4</v>
      </c>
      <c r="X24" s="38">
        <v>2.4925691505230129E-4</v>
      </c>
      <c r="Y24" s="38">
        <v>4.0931756584033582E-4</v>
      </c>
      <c r="Z24" s="38">
        <v>3.7994525083814975E-4</v>
      </c>
      <c r="AA24" s="38">
        <v>2.0182217782367762E-4</v>
      </c>
      <c r="AB24" s="38">
        <v>2.111703462886997E-4</v>
      </c>
      <c r="AC24" s="38">
        <v>2.7941179609581744E-4</v>
      </c>
      <c r="AD24" s="38">
        <v>6.2683255784432327E-5</v>
      </c>
      <c r="AE24" s="38">
        <v>7.5787412497892073E-4</v>
      </c>
      <c r="AF24" s="38">
        <v>3.3174452625992786E-4</v>
      </c>
      <c r="AG24" s="38">
        <v>5.585072860125978E-4</v>
      </c>
      <c r="AH24" s="38">
        <v>2.306548221167454E-4</v>
      </c>
      <c r="AI24" s="38">
        <v>1.2421519380201816E-4</v>
      </c>
      <c r="AJ24" s="38">
        <v>1.9901847194861867E-4</v>
      </c>
      <c r="AK24" s="38">
        <v>2.945734832724368E-3</v>
      </c>
      <c r="AL24" s="38">
        <v>1.5118877604012752E-4</v>
      </c>
      <c r="AM24" s="38">
        <v>9.2029385829696083E-5</v>
      </c>
      <c r="AN24" s="38">
        <v>1.6564123656036969E-4</v>
      </c>
      <c r="AO24" s="64">
        <v>1.0353249474875503</v>
      </c>
      <c r="AP24" s="65">
        <v>0.80054749569728223</v>
      </c>
    </row>
    <row r="25" spans="1:42">
      <c r="A25" s="10">
        <v>20</v>
      </c>
      <c r="B25" s="10" t="s">
        <v>110</v>
      </c>
      <c r="C25" s="12" t="s">
        <v>66</v>
      </c>
      <c r="D25" s="38">
        <v>1.7063267058141094E-3</v>
      </c>
      <c r="E25" s="38">
        <v>2.6951221310053688E-3</v>
      </c>
      <c r="F25" s="38">
        <v>4.0354731805070402E-3</v>
      </c>
      <c r="G25" s="38">
        <v>9.1352167024372852E-3</v>
      </c>
      <c r="H25" s="38">
        <v>6.6321010058323594E-3</v>
      </c>
      <c r="I25" s="38">
        <v>2.8429564030063607E-3</v>
      </c>
      <c r="J25" s="38">
        <v>8.3623779272513877E-4</v>
      </c>
      <c r="K25" s="38">
        <v>2.8228545395556789E-3</v>
      </c>
      <c r="L25" s="38">
        <v>2.6537854916435445E-3</v>
      </c>
      <c r="M25" s="38">
        <v>3.1926408915836113E-3</v>
      </c>
      <c r="N25" s="38">
        <v>2.2664383296329076E-2</v>
      </c>
      <c r="O25" s="38">
        <v>9.6340803600330289E-4</v>
      </c>
      <c r="P25" s="38">
        <v>1.0115556247986979E-3</v>
      </c>
      <c r="Q25" s="38">
        <v>1.4064663697755716E-3</v>
      </c>
      <c r="R25" s="38">
        <v>4.2064299623514236E-3</v>
      </c>
      <c r="S25" s="38">
        <v>1.7771128788456859E-3</v>
      </c>
      <c r="T25" s="38">
        <v>2.798569774082822E-3</v>
      </c>
      <c r="U25" s="38">
        <v>2.886427840057596E-3</v>
      </c>
      <c r="V25" s="38">
        <v>8.6172770013350365E-4</v>
      </c>
      <c r="W25" s="38">
        <v>1.0321350982484618</v>
      </c>
      <c r="X25" s="38">
        <v>2.1617961702143649E-3</v>
      </c>
      <c r="Y25" s="38">
        <v>2.3245834293433255E-3</v>
      </c>
      <c r="Z25" s="38">
        <v>3.1030469244624128E-3</v>
      </c>
      <c r="AA25" s="38">
        <v>3.30127761884297E-3</v>
      </c>
      <c r="AB25" s="38">
        <v>3.3137643571475293E-3</v>
      </c>
      <c r="AC25" s="38">
        <v>7.755695975523778E-3</v>
      </c>
      <c r="AD25" s="38">
        <v>6.9120001504646505E-4</v>
      </c>
      <c r="AE25" s="38">
        <v>1.8709125212931002E-3</v>
      </c>
      <c r="AF25" s="38">
        <v>1.126630600280152E-2</v>
      </c>
      <c r="AG25" s="38">
        <v>3.6648126658947676E-3</v>
      </c>
      <c r="AH25" s="38">
        <v>8.2547715070385372E-3</v>
      </c>
      <c r="AI25" s="38">
        <v>2.2679425417348907E-3</v>
      </c>
      <c r="AJ25" s="38">
        <v>1.7586135059630137E-2</v>
      </c>
      <c r="AK25" s="38">
        <v>3.9297884792207525E-3</v>
      </c>
      <c r="AL25" s="38">
        <v>3.2638202688196911E-3</v>
      </c>
      <c r="AM25" s="38">
        <v>5.6602356310641151E-2</v>
      </c>
      <c r="AN25" s="38">
        <v>1.4897363298702114E-3</v>
      </c>
      <c r="AO25" s="64">
        <v>1.2401118407524754</v>
      </c>
      <c r="AP25" s="65">
        <v>0.95889549547523001</v>
      </c>
    </row>
    <row r="26" spans="1:42">
      <c r="A26" s="10">
        <v>21</v>
      </c>
      <c r="B26" s="10" t="s">
        <v>111</v>
      </c>
      <c r="C26" s="12" t="s">
        <v>112</v>
      </c>
      <c r="D26" s="38">
        <v>5.930403326968885E-3</v>
      </c>
      <c r="E26" s="38">
        <v>9.2449149525001308E-3</v>
      </c>
      <c r="F26" s="38">
        <v>2.7510066920463619E-3</v>
      </c>
      <c r="G26" s="38">
        <v>4.3286073349401606E-3</v>
      </c>
      <c r="H26" s="38">
        <v>7.1226400273145477E-3</v>
      </c>
      <c r="I26" s="38">
        <v>3.6782609206307774E-3</v>
      </c>
      <c r="J26" s="38">
        <v>8.6567633612948374E-3</v>
      </c>
      <c r="K26" s="38">
        <v>6.4032523743324504E-3</v>
      </c>
      <c r="L26" s="38">
        <v>9.691086550161614E-3</v>
      </c>
      <c r="M26" s="38">
        <v>6.7731612991428847E-3</v>
      </c>
      <c r="N26" s="38">
        <v>5.7280306691031594E-3</v>
      </c>
      <c r="O26" s="38">
        <v>5.9934172970143359E-3</v>
      </c>
      <c r="P26" s="38">
        <v>3.6738628116668752E-3</v>
      </c>
      <c r="Q26" s="38">
        <v>2.8735632526968591E-3</v>
      </c>
      <c r="R26" s="38">
        <v>3.3879517053055658E-3</v>
      </c>
      <c r="S26" s="38">
        <v>6.2983671649380294E-3</v>
      </c>
      <c r="T26" s="38">
        <v>3.2366228050896952E-3</v>
      </c>
      <c r="U26" s="38">
        <v>3.9167948883154476E-3</v>
      </c>
      <c r="V26" s="38">
        <v>2.0529540766782007E-3</v>
      </c>
      <c r="W26" s="38">
        <v>4.5983226329765568E-3</v>
      </c>
      <c r="X26" s="38">
        <v>1.0027018151353171</v>
      </c>
      <c r="Y26" s="38">
        <v>2.3453251685878827E-2</v>
      </c>
      <c r="Z26" s="38">
        <v>5.5419293446928829E-2</v>
      </c>
      <c r="AA26" s="38">
        <v>6.1795908194985554E-3</v>
      </c>
      <c r="AB26" s="38">
        <v>6.341126186489761E-3</v>
      </c>
      <c r="AC26" s="38">
        <v>5.6487928599855391E-3</v>
      </c>
      <c r="AD26" s="38">
        <v>1.5064618534928007E-2</v>
      </c>
      <c r="AE26" s="38">
        <v>1.5906480078309866E-2</v>
      </c>
      <c r="AF26" s="38">
        <v>7.3986234242857975E-3</v>
      </c>
      <c r="AG26" s="38">
        <v>1.0579141699064111E-2</v>
      </c>
      <c r="AH26" s="38">
        <v>8.3386388637641615E-3</v>
      </c>
      <c r="AI26" s="38">
        <v>4.6347229865154006E-3</v>
      </c>
      <c r="AJ26" s="38">
        <v>3.6336330437447845E-3</v>
      </c>
      <c r="AK26" s="38">
        <v>2.922346935151587E-3</v>
      </c>
      <c r="AL26" s="38">
        <v>6.0584277683875306E-3</v>
      </c>
      <c r="AM26" s="38">
        <v>2.965768549679137E-3</v>
      </c>
      <c r="AN26" s="38">
        <v>1.7286220373059796E-2</v>
      </c>
      <c r="AO26" s="64">
        <v>1.300872476534106</v>
      </c>
      <c r="AP26" s="65">
        <v>1.0058776288914095</v>
      </c>
    </row>
    <row r="27" spans="1:42">
      <c r="A27" s="10">
        <v>22</v>
      </c>
      <c r="B27" s="10" t="s">
        <v>113</v>
      </c>
      <c r="C27" s="12" t="s">
        <v>188</v>
      </c>
      <c r="D27" s="38">
        <v>1.1562666437757156E-2</v>
      </c>
      <c r="E27" s="38">
        <v>1.6462141270406825E-2</v>
      </c>
      <c r="F27" s="38">
        <v>1.3380297431312752E-2</v>
      </c>
      <c r="G27" s="38">
        <v>1.7494693160833658E-2</v>
      </c>
      <c r="H27" s="38">
        <v>2.1039688029001542E-2</v>
      </c>
      <c r="I27" s="38">
        <v>1.5468709708243019E-2</v>
      </c>
      <c r="J27" s="38">
        <v>1.5425865519687771E-2</v>
      </c>
      <c r="K27" s="38">
        <v>2.0740681209553264E-2</v>
      </c>
      <c r="L27" s="38">
        <v>4.1299913841039898E-2</v>
      </c>
      <c r="M27" s="38">
        <v>5.0340513701945165E-2</v>
      </c>
      <c r="N27" s="38">
        <v>2.4058470013771691E-2</v>
      </c>
      <c r="O27" s="38">
        <v>1.5748213740526346E-2</v>
      </c>
      <c r="P27" s="38">
        <v>1.2224526607423628E-2</v>
      </c>
      <c r="Q27" s="38">
        <v>8.7766665755564573E-3</v>
      </c>
      <c r="R27" s="38">
        <v>1.2848641522973315E-2</v>
      </c>
      <c r="S27" s="38">
        <v>2.3840838186260375E-2</v>
      </c>
      <c r="T27" s="38">
        <v>8.2358027265445246E-3</v>
      </c>
      <c r="U27" s="38">
        <v>5.7400267883995007E-3</v>
      </c>
      <c r="V27" s="38">
        <v>1.2170020749902422E-2</v>
      </c>
      <c r="W27" s="38">
        <v>1.5798353729974561E-2</v>
      </c>
      <c r="X27" s="38">
        <v>5.093858457711254E-3</v>
      </c>
      <c r="Y27" s="38">
        <v>1.0981166322029332</v>
      </c>
      <c r="Z27" s="38">
        <v>4.5599030916444239E-2</v>
      </c>
      <c r="AA27" s="38">
        <v>5.1748068536123529E-2</v>
      </c>
      <c r="AB27" s="38">
        <v>2.0085374437158687E-2</v>
      </c>
      <c r="AC27" s="38">
        <v>5.4468775913552722E-3</v>
      </c>
      <c r="AD27" s="38">
        <v>3.1888895172194455E-3</v>
      </c>
      <c r="AE27" s="38">
        <v>8.8744479585248642E-3</v>
      </c>
      <c r="AF27" s="38">
        <v>7.7329913704974338E-3</v>
      </c>
      <c r="AG27" s="38">
        <v>1.002879200728315E-2</v>
      </c>
      <c r="AH27" s="38">
        <v>1.2981419474720174E-2</v>
      </c>
      <c r="AI27" s="38">
        <v>1.0963574376595654E-2</v>
      </c>
      <c r="AJ27" s="38">
        <v>4.7380492473875178E-3</v>
      </c>
      <c r="AK27" s="38">
        <v>5.0278078294409383E-3</v>
      </c>
      <c r="AL27" s="38">
        <v>2.642215562066192E-2</v>
      </c>
      <c r="AM27" s="38">
        <v>7.3053657488999849E-3</v>
      </c>
      <c r="AN27" s="38">
        <v>4.9266457590318447E-3</v>
      </c>
      <c r="AO27" s="64">
        <v>1.6909367120031029</v>
      </c>
      <c r="AP27" s="65">
        <v>1.3074881982334907</v>
      </c>
    </row>
    <row r="28" spans="1:42">
      <c r="A28" s="10">
        <v>23</v>
      </c>
      <c r="B28" s="10" t="s">
        <v>115</v>
      </c>
      <c r="C28" s="12" t="s">
        <v>0</v>
      </c>
      <c r="D28" s="38">
        <v>1.4007684665880375E-3</v>
      </c>
      <c r="E28" s="38">
        <v>3.2382805450501227E-3</v>
      </c>
      <c r="F28" s="38">
        <v>2.6414811378295106E-3</v>
      </c>
      <c r="G28" s="38">
        <v>1.6618260183090645E-3</v>
      </c>
      <c r="H28" s="38">
        <v>1.4826646501242948E-3</v>
      </c>
      <c r="I28" s="38">
        <v>3.1496966635304012E-3</v>
      </c>
      <c r="J28" s="38">
        <v>1.18820424655778E-3</v>
      </c>
      <c r="K28" s="38">
        <v>9.6608612652860075E-4</v>
      </c>
      <c r="L28" s="38">
        <v>1.6196252263043255E-3</v>
      </c>
      <c r="M28" s="38">
        <v>7.8193363041977374E-4</v>
      </c>
      <c r="N28" s="38">
        <v>8.1070190668505791E-4</v>
      </c>
      <c r="O28" s="38">
        <v>8.8797167650088177E-4</v>
      </c>
      <c r="P28" s="38">
        <v>1.1127303776537251E-3</v>
      </c>
      <c r="Q28" s="38">
        <v>8.4328753583080786E-4</v>
      </c>
      <c r="R28" s="38">
        <v>8.6498946492244769E-4</v>
      </c>
      <c r="S28" s="38">
        <v>1.8207255130544505E-3</v>
      </c>
      <c r="T28" s="38">
        <v>7.9974328456362191E-4</v>
      </c>
      <c r="U28" s="38">
        <v>7.4477986846068129E-4</v>
      </c>
      <c r="V28" s="38">
        <v>6.4359288005047912E-4</v>
      </c>
      <c r="W28" s="38">
        <v>1.6432952124479229E-3</v>
      </c>
      <c r="X28" s="38">
        <v>1.7139483474190359E-3</v>
      </c>
      <c r="Y28" s="38">
        <v>1.7344534753949931E-3</v>
      </c>
      <c r="Z28" s="38">
        <v>1.0917440770645959</v>
      </c>
      <c r="AA28" s="38">
        <v>1.0036769278264827E-2</v>
      </c>
      <c r="AB28" s="38">
        <v>3.741612969725798E-3</v>
      </c>
      <c r="AC28" s="38">
        <v>2.0199580350652602E-3</v>
      </c>
      <c r="AD28" s="38">
        <v>7.0363189560607403E-4</v>
      </c>
      <c r="AE28" s="38">
        <v>7.9044485819050533E-3</v>
      </c>
      <c r="AF28" s="38">
        <v>4.0120274945127108E-3</v>
      </c>
      <c r="AG28" s="38">
        <v>5.2035384109433711E-3</v>
      </c>
      <c r="AH28" s="38">
        <v>9.6198151693614297E-3</v>
      </c>
      <c r="AI28" s="38">
        <v>5.9310432012972154E-3</v>
      </c>
      <c r="AJ28" s="38">
        <v>3.0751138370047485E-3</v>
      </c>
      <c r="AK28" s="38">
        <v>1.4218300266415778E-3</v>
      </c>
      <c r="AL28" s="38">
        <v>1.1486628479620911E-2</v>
      </c>
      <c r="AM28" s="38">
        <v>1.2473154674679085E-3</v>
      </c>
      <c r="AN28" s="38">
        <v>2.1408591099135394E-3</v>
      </c>
      <c r="AO28" s="64">
        <v>1.1920394552761524</v>
      </c>
      <c r="AP28" s="65">
        <v>0.92172433689486788</v>
      </c>
    </row>
    <row r="29" spans="1:42">
      <c r="A29" s="10">
        <v>24</v>
      </c>
      <c r="B29" s="10" t="s">
        <v>116</v>
      </c>
      <c r="C29" s="12" t="s">
        <v>1</v>
      </c>
      <c r="D29" s="38">
        <v>1.2067160508621082E-3</v>
      </c>
      <c r="E29" s="38">
        <v>3.9252458738470754E-3</v>
      </c>
      <c r="F29" s="38">
        <v>2.2469348972126938E-3</v>
      </c>
      <c r="G29" s="38">
        <v>1.021633740670945E-3</v>
      </c>
      <c r="H29" s="38">
        <v>1.5737922211422461E-3</v>
      </c>
      <c r="I29" s="38">
        <v>3.9709813227667735E-3</v>
      </c>
      <c r="J29" s="38">
        <v>8.6020155812094974E-4</v>
      </c>
      <c r="K29" s="38">
        <v>4.8879329107555901E-4</v>
      </c>
      <c r="L29" s="38">
        <v>3.8592826702924699E-3</v>
      </c>
      <c r="M29" s="38">
        <v>7.0889606906726665E-4</v>
      </c>
      <c r="N29" s="38">
        <v>7.9338823897372841E-4</v>
      </c>
      <c r="O29" s="38">
        <v>6.3776947993087201E-4</v>
      </c>
      <c r="P29" s="38">
        <v>8.6191621503038359E-4</v>
      </c>
      <c r="Q29" s="38">
        <v>4.6930255092739816E-4</v>
      </c>
      <c r="R29" s="38">
        <v>7.9012587932151288E-4</v>
      </c>
      <c r="S29" s="38">
        <v>1.3227881040096883E-3</v>
      </c>
      <c r="T29" s="38">
        <v>6.3405528019147572E-4</v>
      </c>
      <c r="U29" s="38">
        <v>7.9230943286462635E-4</v>
      </c>
      <c r="V29" s="38">
        <v>4.6908044333643947E-4</v>
      </c>
      <c r="W29" s="38">
        <v>1.3302622463727382E-3</v>
      </c>
      <c r="X29" s="38">
        <v>3.5961900434626115E-3</v>
      </c>
      <c r="Y29" s="38">
        <v>2.1116114802572617E-3</v>
      </c>
      <c r="Z29" s="38">
        <v>4.0378553030250989E-3</v>
      </c>
      <c r="AA29" s="38">
        <v>1.0010632033452551</v>
      </c>
      <c r="AB29" s="38">
        <v>2.4375242905659514E-3</v>
      </c>
      <c r="AC29" s="38">
        <v>5.4699318206487641E-3</v>
      </c>
      <c r="AD29" s="38">
        <v>5.6022097859081477E-4</v>
      </c>
      <c r="AE29" s="38">
        <v>7.4612330136175006E-3</v>
      </c>
      <c r="AF29" s="38">
        <v>9.3671743572852906E-3</v>
      </c>
      <c r="AG29" s="38">
        <v>3.44856434350619E-2</v>
      </c>
      <c r="AH29" s="38">
        <v>8.3039560006143293E-3</v>
      </c>
      <c r="AI29" s="38">
        <v>5.8173912705986909E-3</v>
      </c>
      <c r="AJ29" s="38">
        <v>1.1739658367179999E-3</v>
      </c>
      <c r="AK29" s="38">
        <v>2.5771471389244502E-3</v>
      </c>
      <c r="AL29" s="38">
        <v>2.54738249530823E-2</v>
      </c>
      <c r="AM29" s="38">
        <v>1.0243789445731973E-3</v>
      </c>
      <c r="AN29" s="38">
        <v>1.611391886380055E-2</v>
      </c>
      <c r="AO29" s="64">
        <v>1.1590386466420992</v>
      </c>
      <c r="AP29" s="65">
        <v>0.89620702006396613</v>
      </c>
    </row>
    <row r="30" spans="1:42">
      <c r="A30" s="10">
        <v>25</v>
      </c>
      <c r="B30" s="10" t="s">
        <v>117</v>
      </c>
      <c r="C30" s="12" t="s">
        <v>67</v>
      </c>
      <c r="D30" s="38">
        <v>4.5862660612731282E-2</v>
      </c>
      <c r="E30" s="38">
        <v>1.9171011010475754E-2</v>
      </c>
      <c r="F30" s="38">
        <v>5.2338500722502623E-2</v>
      </c>
      <c r="G30" s="38">
        <v>6.120137197605368E-2</v>
      </c>
      <c r="H30" s="38">
        <v>5.6239741600273861E-2</v>
      </c>
      <c r="I30" s="38">
        <v>3.7100689285909254E-2</v>
      </c>
      <c r="J30" s="38">
        <v>1.7960637960532096E-2</v>
      </c>
      <c r="K30" s="38">
        <v>4.0510952670187977E-2</v>
      </c>
      <c r="L30" s="38">
        <v>3.0812986224608249E-2</v>
      </c>
      <c r="M30" s="38">
        <v>2.7663049544416306E-2</v>
      </c>
      <c r="N30" s="38">
        <v>2.6189138576358129E-2</v>
      </c>
      <c r="O30" s="38">
        <v>2.1394324288433453E-2</v>
      </c>
      <c r="P30" s="38">
        <v>2.5734718281497919E-2</v>
      </c>
      <c r="Q30" s="38">
        <v>2.6855638467667607E-2</v>
      </c>
      <c r="R30" s="38">
        <v>3.6859663350017419E-2</v>
      </c>
      <c r="S30" s="38">
        <v>3.0907690325463429E-2</v>
      </c>
      <c r="T30" s="38">
        <v>3.5400465162975632E-2</v>
      </c>
      <c r="U30" s="38">
        <v>3.4828690149469044E-2</v>
      </c>
      <c r="V30" s="38">
        <v>3.385647682462143E-2</v>
      </c>
      <c r="W30" s="38">
        <v>5.6339960351413573E-2</v>
      </c>
      <c r="X30" s="38">
        <v>3.6380084671714406E-2</v>
      </c>
      <c r="Y30" s="38">
        <v>5.619185081324753E-3</v>
      </c>
      <c r="Z30" s="38">
        <v>2.011343517212091E-2</v>
      </c>
      <c r="AA30" s="38">
        <v>1.6097079279792443E-2</v>
      </c>
      <c r="AB30" s="38">
        <v>1.0101660037655082</v>
      </c>
      <c r="AC30" s="38">
        <v>7.9700860820466259E-3</v>
      </c>
      <c r="AD30" s="38">
        <v>2.2909025277675706E-3</v>
      </c>
      <c r="AE30" s="38">
        <v>3.0998980341412477E-2</v>
      </c>
      <c r="AF30" s="38">
        <v>1.1097737618000742E-2</v>
      </c>
      <c r="AG30" s="38">
        <v>9.605781422533901E-3</v>
      </c>
      <c r="AH30" s="38">
        <v>1.6609789224736955E-2</v>
      </c>
      <c r="AI30" s="38">
        <v>3.0521011188398034E-2</v>
      </c>
      <c r="AJ30" s="38">
        <v>2.8320256474174611E-2</v>
      </c>
      <c r="AK30" s="38">
        <v>1.6865467624495086E-2</v>
      </c>
      <c r="AL30" s="38">
        <v>4.6813542431227914E-2</v>
      </c>
      <c r="AM30" s="38">
        <v>0.16744827593809408</v>
      </c>
      <c r="AN30" s="38">
        <v>6.8538437121915315E-3</v>
      </c>
      <c r="AO30" s="64">
        <v>2.180999829941149</v>
      </c>
      <c r="AP30" s="65">
        <v>1.6864212112464148</v>
      </c>
    </row>
    <row r="31" spans="1:42">
      <c r="A31" s="10">
        <v>26</v>
      </c>
      <c r="B31" s="10" t="s">
        <v>118</v>
      </c>
      <c r="C31" s="12" t="s">
        <v>68</v>
      </c>
      <c r="D31" s="38">
        <v>1.1760150999306645E-2</v>
      </c>
      <c r="E31" s="38">
        <v>7.0214067482919224E-2</v>
      </c>
      <c r="F31" s="38">
        <v>1.1102432093331577E-2</v>
      </c>
      <c r="G31" s="38">
        <v>2.1221126399713627E-2</v>
      </c>
      <c r="H31" s="38">
        <v>1.464015997447083E-2</v>
      </c>
      <c r="I31" s="38">
        <v>1.3700027202452367E-2</v>
      </c>
      <c r="J31" s="38">
        <v>6.1220252229434785E-3</v>
      </c>
      <c r="K31" s="38">
        <v>7.4650921469063608E-3</v>
      </c>
      <c r="L31" s="38">
        <v>1.7590115147413671E-2</v>
      </c>
      <c r="M31" s="38">
        <v>1.2070732052502744E-2</v>
      </c>
      <c r="N31" s="38">
        <v>1.5699331490535328E-2</v>
      </c>
      <c r="O31" s="38">
        <v>1.3844117298458072E-2</v>
      </c>
      <c r="P31" s="38">
        <v>9.0580787921431417E-3</v>
      </c>
      <c r="Q31" s="38">
        <v>9.6954326174262112E-3</v>
      </c>
      <c r="R31" s="38">
        <v>1.64066918797874E-2</v>
      </c>
      <c r="S31" s="38">
        <v>1.0026628525356298E-2</v>
      </c>
      <c r="T31" s="38">
        <v>9.8203152084949188E-3</v>
      </c>
      <c r="U31" s="38">
        <v>8.254249070838755E-3</v>
      </c>
      <c r="V31" s="38">
        <v>8.2982799614654164E-3</v>
      </c>
      <c r="W31" s="38">
        <v>2.6660038940399061E-2</v>
      </c>
      <c r="X31" s="38">
        <v>1.5865908902116827E-2</v>
      </c>
      <c r="Y31" s="38">
        <v>3.2486224661221801E-2</v>
      </c>
      <c r="Z31" s="38">
        <v>2.535897197057637E-2</v>
      </c>
      <c r="AA31" s="38">
        <v>3.2008128766807947E-2</v>
      </c>
      <c r="AB31" s="38">
        <v>2.4218591324693842E-2</v>
      </c>
      <c r="AC31" s="38">
        <v>1.0791153285848329</v>
      </c>
      <c r="AD31" s="38">
        <v>7.5891849106458423E-2</v>
      </c>
      <c r="AE31" s="38">
        <v>3.4429087173195413E-2</v>
      </c>
      <c r="AF31" s="38">
        <v>1.2813168112596352E-2</v>
      </c>
      <c r="AG31" s="38">
        <v>1.7910184564125641E-2</v>
      </c>
      <c r="AH31" s="38">
        <v>1.3455542446758343E-2</v>
      </c>
      <c r="AI31" s="38">
        <v>1.2345819209912706E-2</v>
      </c>
      <c r="AJ31" s="38">
        <v>2.8760912280068791E-2</v>
      </c>
      <c r="AK31" s="38">
        <v>1.4744613462826722E-2</v>
      </c>
      <c r="AL31" s="38">
        <v>2.1975077704748106E-2</v>
      </c>
      <c r="AM31" s="38">
        <v>8.8543462605207447E-3</v>
      </c>
      <c r="AN31" s="38">
        <v>3.8902821779255421E-2</v>
      </c>
      <c r="AO31" s="64">
        <v>1.8027856688175814</v>
      </c>
      <c r="AP31" s="65">
        <v>1.393973511362933</v>
      </c>
    </row>
    <row r="32" spans="1:42">
      <c r="A32" s="10">
        <v>27</v>
      </c>
      <c r="B32" s="10" t="s">
        <v>119</v>
      </c>
      <c r="C32" s="12" t="s">
        <v>120</v>
      </c>
      <c r="D32" s="38">
        <v>6.0949504937306701E-3</v>
      </c>
      <c r="E32" s="38">
        <v>1.8075039937967153E-2</v>
      </c>
      <c r="F32" s="38">
        <v>8.3202798313608117E-3</v>
      </c>
      <c r="G32" s="38">
        <v>1.0328377947058582E-2</v>
      </c>
      <c r="H32" s="38">
        <v>7.2648571412499297E-3</v>
      </c>
      <c r="I32" s="38">
        <v>9.1451246302440923E-3</v>
      </c>
      <c r="J32" s="38">
        <v>5.5499141880423581E-3</v>
      </c>
      <c r="K32" s="38">
        <v>7.7275307960474483E-3</v>
      </c>
      <c r="L32" s="38">
        <v>9.887468807726495E-3</v>
      </c>
      <c r="M32" s="38">
        <v>5.8900367589205648E-3</v>
      </c>
      <c r="N32" s="38">
        <v>5.3105892416859292E-3</v>
      </c>
      <c r="O32" s="38">
        <v>8.4090203155617292E-3</v>
      </c>
      <c r="P32" s="38">
        <v>7.0127291374704435E-3</v>
      </c>
      <c r="Q32" s="38">
        <v>5.5319444799461787E-3</v>
      </c>
      <c r="R32" s="38">
        <v>6.8564069030283307E-3</v>
      </c>
      <c r="S32" s="38">
        <v>5.0251774324716857E-3</v>
      </c>
      <c r="T32" s="38">
        <v>6.0112583413824685E-3</v>
      </c>
      <c r="U32" s="38">
        <v>5.5470482486396876E-3</v>
      </c>
      <c r="V32" s="38">
        <v>3.5621269042959928E-3</v>
      </c>
      <c r="W32" s="38">
        <v>9.7742062516352757E-3</v>
      </c>
      <c r="X32" s="38">
        <v>1.0037364485774825E-2</v>
      </c>
      <c r="Y32" s="38">
        <v>1.7810749030335884E-2</v>
      </c>
      <c r="Z32" s="38">
        <v>7.0933646956071947E-3</v>
      </c>
      <c r="AA32" s="38">
        <v>6.6465519993149898E-3</v>
      </c>
      <c r="AB32" s="38">
        <v>4.1424835516348298E-2</v>
      </c>
      <c r="AC32" s="38">
        <v>2.4015527622206774E-2</v>
      </c>
      <c r="AD32" s="38">
        <v>1.040865817434989</v>
      </c>
      <c r="AE32" s="38">
        <v>2.8886445987208721E-2</v>
      </c>
      <c r="AF32" s="38">
        <v>2.7426648299790368E-2</v>
      </c>
      <c r="AG32" s="38">
        <v>6.5543775357096877E-3</v>
      </c>
      <c r="AH32" s="38">
        <v>1.3365614957460159E-2</v>
      </c>
      <c r="AI32" s="38">
        <v>2.089761479315114E-2</v>
      </c>
      <c r="AJ32" s="38">
        <v>2.2786876714758049E-2</v>
      </c>
      <c r="AK32" s="38">
        <v>1.5651445914538036E-2</v>
      </c>
      <c r="AL32" s="38">
        <v>4.0578516752565602E-2</v>
      </c>
      <c r="AM32" s="38">
        <v>9.3133763879094372E-3</v>
      </c>
      <c r="AN32" s="38">
        <v>2.3753872471692083E-2</v>
      </c>
      <c r="AO32" s="64">
        <v>1.5084330883878263</v>
      </c>
      <c r="AP32" s="65">
        <v>1.1663703596307984</v>
      </c>
    </row>
    <row r="33" spans="1:42">
      <c r="A33" s="10">
        <v>28</v>
      </c>
      <c r="B33" s="10" t="s">
        <v>121</v>
      </c>
      <c r="C33" s="12" t="s">
        <v>189</v>
      </c>
      <c r="D33" s="38">
        <v>9.8214861860459052E-2</v>
      </c>
      <c r="E33" s="38">
        <v>0.34033307605382351</v>
      </c>
      <c r="F33" s="38">
        <v>4.8902845314294882E-2</v>
      </c>
      <c r="G33" s="38">
        <v>3.702119233722196E-2</v>
      </c>
      <c r="H33" s="38">
        <v>5.3683079724371328E-2</v>
      </c>
      <c r="I33" s="38">
        <v>2.8264627381203191E-2</v>
      </c>
      <c r="J33" s="38">
        <v>6.6167360766216501E-2</v>
      </c>
      <c r="K33" s="38">
        <v>2.0247406275517309E-2</v>
      </c>
      <c r="L33" s="38">
        <v>7.8443943081884487E-2</v>
      </c>
      <c r="M33" s="38">
        <v>4.3454885921234358E-2</v>
      </c>
      <c r="N33" s="38">
        <v>3.5080824239368674E-2</v>
      </c>
      <c r="O33" s="38">
        <v>3.2190959942087267E-2</v>
      </c>
      <c r="P33" s="38">
        <v>2.409258905149772E-2</v>
      </c>
      <c r="Q33" s="38">
        <v>2.2314678009167806E-2</v>
      </c>
      <c r="R33" s="38">
        <v>3.3556125082566952E-2</v>
      </c>
      <c r="S33" s="38">
        <v>1.8997178230378997E-2</v>
      </c>
      <c r="T33" s="38">
        <v>2.1254947278426643E-2</v>
      </c>
      <c r="U33" s="38">
        <v>2.2380773734759739E-2</v>
      </c>
      <c r="V33" s="38">
        <v>1.7656703719943052E-2</v>
      </c>
      <c r="W33" s="38">
        <v>8.8054464489303971E-2</v>
      </c>
      <c r="X33" s="38">
        <v>5.1888266899169526E-2</v>
      </c>
      <c r="Y33" s="38">
        <v>2.2309438446446346E-2</v>
      </c>
      <c r="Z33" s="38">
        <v>3.579061576891119E-2</v>
      </c>
      <c r="AA33" s="38">
        <v>7.9281100001263718E-2</v>
      </c>
      <c r="AB33" s="38">
        <v>5.9016336961537193E-2</v>
      </c>
      <c r="AC33" s="38">
        <v>3.9084988911197827E-2</v>
      </c>
      <c r="AD33" s="38">
        <v>6.6233032287549469E-3</v>
      </c>
      <c r="AE33" s="38">
        <v>1.0702784155620193</v>
      </c>
      <c r="AF33" s="38">
        <v>3.1443756148282133E-2</v>
      </c>
      <c r="AG33" s="38">
        <v>3.7874009899594045E-2</v>
      </c>
      <c r="AH33" s="38">
        <v>3.5097025114024925E-2</v>
      </c>
      <c r="AI33" s="38">
        <v>2.1967470024644435E-2</v>
      </c>
      <c r="AJ33" s="38">
        <v>4.5128548721758636E-2</v>
      </c>
      <c r="AK33" s="38">
        <v>2.1092850155580205E-2</v>
      </c>
      <c r="AL33" s="38">
        <v>5.7514406259932115E-2</v>
      </c>
      <c r="AM33" s="38">
        <v>7.2483969939518875E-2</v>
      </c>
      <c r="AN33" s="38">
        <v>5.3556432833790552E-2</v>
      </c>
      <c r="AO33" s="64">
        <v>2.8707434573701542</v>
      </c>
      <c r="AP33" s="65">
        <v>2.2197537991951748</v>
      </c>
    </row>
    <row r="34" spans="1:42">
      <c r="A34" s="10">
        <v>29</v>
      </c>
      <c r="B34" s="10" t="s">
        <v>123</v>
      </c>
      <c r="C34" s="12" t="s">
        <v>190</v>
      </c>
      <c r="D34" s="38">
        <v>6.2237362242069279E-3</v>
      </c>
      <c r="E34" s="38">
        <v>9.2507497859134532E-3</v>
      </c>
      <c r="F34" s="38">
        <v>7.3203090273389971E-3</v>
      </c>
      <c r="G34" s="38">
        <v>6.8835465746717277E-3</v>
      </c>
      <c r="H34" s="38">
        <v>5.7224225837908416E-3</v>
      </c>
      <c r="I34" s="38">
        <v>1.3549345279980756E-2</v>
      </c>
      <c r="J34" s="38">
        <v>4.955699170757011E-3</v>
      </c>
      <c r="K34" s="38">
        <v>5.1540689276095095E-3</v>
      </c>
      <c r="L34" s="38">
        <v>8.0845481205610668E-3</v>
      </c>
      <c r="M34" s="38">
        <v>5.8347462052753506E-3</v>
      </c>
      <c r="N34" s="38">
        <v>4.1722536788166287E-3</v>
      </c>
      <c r="O34" s="38">
        <v>7.6220031093626479E-3</v>
      </c>
      <c r="P34" s="38">
        <v>7.2645609431948345E-3</v>
      </c>
      <c r="Q34" s="38">
        <v>7.66474120802759E-3</v>
      </c>
      <c r="R34" s="38">
        <v>6.5729297972850513E-3</v>
      </c>
      <c r="S34" s="38">
        <v>6.6476779062782116E-3</v>
      </c>
      <c r="T34" s="38">
        <v>9.4590236786618303E-3</v>
      </c>
      <c r="U34" s="38">
        <v>1.5513227676115043E-2</v>
      </c>
      <c r="V34" s="38">
        <v>3.8534702732496658E-3</v>
      </c>
      <c r="W34" s="38">
        <v>7.4846482544903741E-3</v>
      </c>
      <c r="X34" s="38">
        <v>1.0052571511795208E-2</v>
      </c>
      <c r="Y34" s="38">
        <v>1.5759180466247639E-2</v>
      </c>
      <c r="Z34" s="38">
        <v>3.0993488167108226E-2</v>
      </c>
      <c r="AA34" s="38">
        <v>1.062889753572257E-2</v>
      </c>
      <c r="AB34" s="38">
        <v>2.8174718458080922E-2</v>
      </c>
      <c r="AC34" s="38">
        <v>3.9544650472044099E-2</v>
      </c>
      <c r="AD34" s="38">
        <v>4.8222951173086514E-3</v>
      </c>
      <c r="AE34" s="38">
        <v>1.2418436353719062E-2</v>
      </c>
      <c r="AF34" s="38">
        <v>1.1191150880536063</v>
      </c>
      <c r="AG34" s="38">
        <v>1.9412726949771923E-2</v>
      </c>
      <c r="AH34" s="38">
        <v>2.3047971925899496E-2</v>
      </c>
      <c r="AI34" s="38">
        <v>1.0775590176003677E-2</v>
      </c>
      <c r="AJ34" s="38">
        <v>4.1628523480762077E-2</v>
      </c>
      <c r="AK34" s="38">
        <v>3.8149416850802566E-2</v>
      </c>
      <c r="AL34" s="38">
        <v>1.8462908978115884E-2</v>
      </c>
      <c r="AM34" s="38">
        <v>6.155098340625065E-3</v>
      </c>
      <c r="AN34" s="38">
        <v>2.9956324354037098E-2</v>
      </c>
      <c r="AO34" s="64">
        <v>1.6083315956172379</v>
      </c>
      <c r="AP34" s="65">
        <v>1.2436151898461585</v>
      </c>
    </row>
    <row r="35" spans="1:42">
      <c r="A35" s="10">
        <v>30</v>
      </c>
      <c r="B35" s="10" t="s">
        <v>125</v>
      </c>
      <c r="C35" s="12" t="s">
        <v>69</v>
      </c>
      <c r="D35" s="38">
        <v>5.7575626325143039E-4</v>
      </c>
      <c r="E35" s="38">
        <v>4.3594128904636819E-4</v>
      </c>
      <c r="F35" s="38">
        <v>2.8942607121679658E-4</v>
      </c>
      <c r="G35" s="38">
        <v>2.4938940786160206E-4</v>
      </c>
      <c r="H35" s="38">
        <v>2.5837547360457502E-4</v>
      </c>
      <c r="I35" s="38">
        <v>1.2307973395970384E-4</v>
      </c>
      <c r="J35" s="38">
        <v>1.3245518058063687E-3</v>
      </c>
      <c r="K35" s="38">
        <v>1.5341404548014213E-4</v>
      </c>
      <c r="L35" s="38">
        <v>8.4878181468040729E-4</v>
      </c>
      <c r="M35" s="38">
        <v>8.0266481278963803E-4</v>
      </c>
      <c r="N35" s="38">
        <v>3.3162103342363277E-4</v>
      </c>
      <c r="O35" s="38">
        <v>3.4014065034633435E-4</v>
      </c>
      <c r="P35" s="38">
        <v>5.5086973012843628E-4</v>
      </c>
      <c r="Q35" s="38">
        <v>4.2799180223918184E-4</v>
      </c>
      <c r="R35" s="38">
        <v>2.4015029737967954E-4</v>
      </c>
      <c r="S35" s="38">
        <v>1.1112821448202585E-4</v>
      </c>
      <c r="T35" s="38">
        <v>1.5079445451462648E-4</v>
      </c>
      <c r="U35" s="38">
        <v>1.2855185341394774E-4</v>
      </c>
      <c r="V35" s="38">
        <v>1.0768618264125287E-4</v>
      </c>
      <c r="W35" s="38">
        <v>1.982003903546887E-4</v>
      </c>
      <c r="X35" s="38">
        <v>9.9098245254726535E-4</v>
      </c>
      <c r="Y35" s="38">
        <v>3.0323816463089447E-4</v>
      </c>
      <c r="Z35" s="38">
        <v>6.5371197658419813E-4</v>
      </c>
      <c r="AA35" s="38">
        <v>5.7143974187307011E-4</v>
      </c>
      <c r="AB35" s="38">
        <v>3.4646063273185317E-4</v>
      </c>
      <c r="AC35" s="38">
        <v>7.7815880681125467E-4</v>
      </c>
      <c r="AD35" s="38">
        <v>2.4992924269990653E-4</v>
      </c>
      <c r="AE35" s="38">
        <v>2.0037914124618455E-4</v>
      </c>
      <c r="AF35" s="38">
        <v>3.9058899623838685E-4</v>
      </c>
      <c r="AG35" s="38">
        <v>1.0000937543037116</v>
      </c>
      <c r="AH35" s="38">
        <v>4.9709294545139673E-4</v>
      </c>
      <c r="AI35" s="38">
        <v>2.7463685525597404E-4</v>
      </c>
      <c r="AJ35" s="38">
        <v>9.0854621976599022E-4</v>
      </c>
      <c r="AK35" s="38">
        <v>3.5514957014765665E-4</v>
      </c>
      <c r="AL35" s="38">
        <v>5.5092008227191941E-4</v>
      </c>
      <c r="AM35" s="38">
        <v>1.40590139222268E-4</v>
      </c>
      <c r="AN35" s="38">
        <v>0.10159040138281565</v>
      </c>
      <c r="AO35" s="64">
        <v>1.1165444959806263</v>
      </c>
      <c r="AP35" s="65">
        <v>0.86334913715833461</v>
      </c>
    </row>
    <row r="36" spans="1:42">
      <c r="A36" s="10">
        <v>31</v>
      </c>
      <c r="B36" s="10" t="s">
        <v>126</v>
      </c>
      <c r="C36" s="12" t="s">
        <v>127</v>
      </c>
      <c r="D36" s="38">
        <v>1.3766201486780559E-4</v>
      </c>
      <c r="E36" s="38">
        <v>2.6735718908468624E-4</v>
      </c>
      <c r="F36" s="38">
        <v>3.5715552076746008E-4</v>
      </c>
      <c r="G36" s="38">
        <v>9.3707466107758187E-5</v>
      </c>
      <c r="H36" s="38">
        <v>1.5013332082449294E-4</v>
      </c>
      <c r="I36" s="38">
        <v>3.5503409884354197E-4</v>
      </c>
      <c r="J36" s="38">
        <v>1.0890403885975789E-4</v>
      </c>
      <c r="K36" s="38">
        <v>2.1332018302418755E-4</v>
      </c>
      <c r="L36" s="38">
        <v>4.7514466297810361E-4</v>
      </c>
      <c r="M36" s="38">
        <v>3.7057177065212858E-4</v>
      </c>
      <c r="N36" s="38">
        <v>1.2923077499745543E-4</v>
      </c>
      <c r="O36" s="38">
        <v>5.5420806547256979E-4</v>
      </c>
      <c r="P36" s="38">
        <v>6.3232008996634526E-4</v>
      </c>
      <c r="Q36" s="38">
        <v>3.6396455079792711E-4</v>
      </c>
      <c r="R36" s="38">
        <v>3.3621019121973095E-4</v>
      </c>
      <c r="S36" s="38">
        <v>1.278189263289146E-3</v>
      </c>
      <c r="T36" s="38">
        <v>1.149397714268168E-3</v>
      </c>
      <c r="U36" s="38">
        <v>1.748494933879122E-3</v>
      </c>
      <c r="V36" s="38">
        <v>3.3914165648017127E-4</v>
      </c>
      <c r="W36" s="38">
        <v>2.6346675720593154E-4</v>
      </c>
      <c r="X36" s="38">
        <v>2.7276718292860666E-4</v>
      </c>
      <c r="Y36" s="38">
        <v>9.6788018637114547E-4</v>
      </c>
      <c r="Z36" s="38">
        <v>3.4504106536531069E-4</v>
      </c>
      <c r="AA36" s="38">
        <v>3.4245756675068361E-4</v>
      </c>
      <c r="AB36" s="38">
        <v>3.62755722626722E-4</v>
      </c>
      <c r="AC36" s="38">
        <v>3.8946331960628685E-4</v>
      </c>
      <c r="AD36" s="38">
        <v>5.1811540021266564E-5</v>
      </c>
      <c r="AE36" s="38">
        <v>6.4976681608662653E-4</v>
      </c>
      <c r="AF36" s="38">
        <v>4.3407791796738777E-3</v>
      </c>
      <c r="AG36" s="38">
        <v>2.0133022964515719E-4</v>
      </c>
      <c r="AH36" s="38">
        <v>1.0001673859735156</v>
      </c>
      <c r="AI36" s="38">
        <v>1.6543374131515999E-4</v>
      </c>
      <c r="AJ36" s="38">
        <v>2.3982331069663222E-4</v>
      </c>
      <c r="AK36" s="38">
        <v>5.7034017123349138E-4</v>
      </c>
      <c r="AL36" s="38">
        <v>5.6205988053964332E-4</v>
      </c>
      <c r="AM36" s="38">
        <v>1.2707535955546191E-4</v>
      </c>
      <c r="AN36" s="38">
        <v>2.0137573638080212E-3</v>
      </c>
      <c r="AO36" s="64">
        <v>1.0210935428733261</v>
      </c>
      <c r="AP36" s="65">
        <v>0.78954330290561869</v>
      </c>
    </row>
    <row r="37" spans="1:42">
      <c r="A37" s="10">
        <v>32</v>
      </c>
      <c r="B37" s="10" t="s">
        <v>128</v>
      </c>
      <c r="C37" s="12" t="s">
        <v>191</v>
      </c>
      <c r="D37" s="38">
        <v>1.9993624267792895E-5</v>
      </c>
      <c r="E37" s="38">
        <v>6.5312566713765068E-5</v>
      </c>
      <c r="F37" s="38">
        <v>1.1780141250453832E-5</v>
      </c>
      <c r="G37" s="38">
        <v>9.9908311256668066E-6</v>
      </c>
      <c r="H37" s="38">
        <v>1.2177339408482853E-5</v>
      </c>
      <c r="I37" s="38">
        <v>1.6910014388393833E-5</v>
      </c>
      <c r="J37" s="38">
        <v>1.4038764446575494E-5</v>
      </c>
      <c r="K37" s="38">
        <v>5.8190190302215282E-6</v>
      </c>
      <c r="L37" s="38">
        <v>1.7489771385888845E-5</v>
      </c>
      <c r="M37" s="38">
        <v>1.02792228916988E-5</v>
      </c>
      <c r="N37" s="38">
        <v>8.4127653748930922E-6</v>
      </c>
      <c r="O37" s="38">
        <v>8.476665176908727E-6</v>
      </c>
      <c r="P37" s="38">
        <v>7.0200572588370198E-6</v>
      </c>
      <c r="Q37" s="38">
        <v>6.6827744593932871E-6</v>
      </c>
      <c r="R37" s="38">
        <v>8.786050267753095E-6</v>
      </c>
      <c r="S37" s="38">
        <v>6.009761813902732E-6</v>
      </c>
      <c r="T37" s="38">
        <v>6.8252146094376529E-6</v>
      </c>
      <c r="U37" s="38">
        <v>8.0509701566053696E-6</v>
      </c>
      <c r="V37" s="38">
        <v>4.9209639139861647E-6</v>
      </c>
      <c r="W37" s="38">
        <v>1.9156464536638154E-5</v>
      </c>
      <c r="X37" s="38">
        <v>1.3584771648482896E-5</v>
      </c>
      <c r="Y37" s="38">
        <v>1.0363223380394479E-5</v>
      </c>
      <c r="Z37" s="38">
        <v>7.2728857544674525E-5</v>
      </c>
      <c r="AA37" s="38">
        <v>1.8944256655769283E-5</v>
      </c>
      <c r="AB37" s="38">
        <v>2.7504454181894049E-5</v>
      </c>
      <c r="AC37" s="38">
        <v>6.8543077243671404E-5</v>
      </c>
      <c r="AD37" s="38">
        <v>1.0369239885339991E-5</v>
      </c>
      <c r="AE37" s="38">
        <v>1.9101506965131531E-4</v>
      </c>
      <c r="AF37" s="38">
        <v>2.1516561928460875E-4</v>
      </c>
      <c r="AG37" s="38">
        <v>2.0123976540580605E-5</v>
      </c>
      <c r="AH37" s="38">
        <v>2.2918381402638472E-5</v>
      </c>
      <c r="AI37" s="38">
        <v>1.0113723488631134</v>
      </c>
      <c r="AJ37" s="38">
        <v>1.8884653123235088E-5</v>
      </c>
      <c r="AK37" s="38">
        <v>2.3611131791653835E-5</v>
      </c>
      <c r="AL37" s="38">
        <v>1.2944691925992918E-4</v>
      </c>
      <c r="AM37" s="38">
        <v>1.6118851135064884E-5</v>
      </c>
      <c r="AN37" s="38">
        <v>7.5897691898595094E-5</v>
      </c>
      <c r="AO37" s="64">
        <v>1.0125757020202188</v>
      </c>
      <c r="AP37" s="65">
        <v>0.7829570266063266</v>
      </c>
    </row>
    <row r="38" spans="1:42">
      <c r="A38" s="10">
        <v>33</v>
      </c>
      <c r="B38" s="10" t="s">
        <v>130</v>
      </c>
      <c r="C38" s="12" t="s">
        <v>192</v>
      </c>
      <c r="D38" s="38">
        <v>4.9979381379876339E-3</v>
      </c>
      <c r="E38" s="38">
        <v>5.4288904850103136E-3</v>
      </c>
      <c r="F38" s="38">
        <v>3.9292853118391233E-3</v>
      </c>
      <c r="G38" s="38">
        <v>3.0767980744396272E-3</v>
      </c>
      <c r="H38" s="38">
        <v>1.6315140970305621E-3</v>
      </c>
      <c r="I38" s="38">
        <v>3.7580505538866438E-3</v>
      </c>
      <c r="J38" s="38">
        <v>1.3784480731698487E-3</v>
      </c>
      <c r="K38" s="38">
        <v>1.3249712252199855E-3</v>
      </c>
      <c r="L38" s="38">
        <v>2.5910253915132518E-3</v>
      </c>
      <c r="M38" s="38">
        <v>1.4237389807435965E-3</v>
      </c>
      <c r="N38" s="38">
        <v>2.8693538913929623E-3</v>
      </c>
      <c r="O38" s="38">
        <v>1.005928675447982E-3</v>
      </c>
      <c r="P38" s="38">
        <v>5.3479613045661761E-3</v>
      </c>
      <c r="Q38" s="38">
        <v>1.2107594367010979E-3</v>
      </c>
      <c r="R38" s="38">
        <v>1.4465484150542125E-3</v>
      </c>
      <c r="S38" s="38">
        <v>1.3941969905178994E-3</v>
      </c>
      <c r="T38" s="38">
        <v>1.2371872567388776E-3</v>
      </c>
      <c r="U38" s="38">
        <v>9.5260737384951684E-4</v>
      </c>
      <c r="V38" s="38">
        <v>5.3032654935627273E-4</v>
      </c>
      <c r="W38" s="38">
        <v>2.107046351450649E-3</v>
      </c>
      <c r="X38" s="38">
        <v>2.443613639550808E-3</v>
      </c>
      <c r="Y38" s="38">
        <v>5.867846448490587E-3</v>
      </c>
      <c r="Z38" s="38">
        <v>1.8639179472995333E-2</v>
      </c>
      <c r="AA38" s="38">
        <v>4.7649078224682269E-3</v>
      </c>
      <c r="AB38" s="38">
        <v>2.0603274396264796E-3</v>
      </c>
      <c r="AC38" s="38">
        <v>7.4658321517838393E-3</v>
      </c>
      <c r="AD38" s="38">
        <v>9.6545631220895179E-4</v>
      </c>
      <c r="AE38" s="38">
        <v>3.5439126023832155E-3</v>
      </c>
      <c r="AF38" s="38">
        <v>3.4977974273761418E-3</v>
      </c>
      <c r="AG38" s="38">
        <v>8.1053450748701543E-4</v>
      </c>
      <c r="AH38" s="38">
        <v>4.8259963368284834E-3</v>
      </c>
      <c r="AI38" s="38">
        <v>2.4361324249192163E-3</v>
      </c>
      <c r="AJ38" s="38">
        <v>1.000821168565998</v>
      </c>
      <c r="AK38" s="38">
        <v>4.5084370602222652E-3</v>
      </c>
      <c r="AL38" s="38">
        <v>5.500453461522465E-3</v>
      </c>
      <c r="AM38" s="38">
        <v>8.2994102912006427E-4</v>
      </c>
      <c r="AN38" s="38">
        <v>1.2514237678247833E-3</v>
      </c>
      <c r="AO38" s="64">
        <v>1.1178755370467219</v>
      </c>
      <c r="AP38" s="65">
        <v>0.86437834213858633</v>
      </c>
    </row>
    <row r="39" spans="1:42">
      <c r="A39" s="10">
        <v>34</v>
      </c>
      <c r="B39" s="10" t="s">
        <v>131</v>
      </c>
      <c r="C39" s="12" t="s">
        <v>132</v>
      </c>
      <c r="D39" s="38">
        <v>3.794837053982715E-2</v>
      </c>
      <c r="E39" s="38">
        <v>7.8812349685479038E-2</v>
      </c>
      <c r="F39" s="38">
        <v>5.3860857922935573E-2</v>
      </c>
      <c r="G39" s="38">
        <v>4.0635845835403882E-2</v>
      </c>
      <c r="H39" s="38">
        <v>3.3052339459519797E-2</v>
      </c>
      <c r="I39" s="38">
        <v>6.52643125513091E-2</v>
      </c>
      <c r="J39" s="38">
        <v>3.7570921275396345E-2</v>
      </c>
      <c r="K39" s="38">
        <v>3.9661776538850474E-2</v>
      </c>
      <c r="L39" s="38">
        <v>6.2098655807866193E-2</v>
      </c>
      <c r="M39" s="38">
        <v>3.0818426213933547E-2</v>
      </c>
      <c r="N39" s="38">
        <v>2.9886470732526985E-2</v>
      </c>
      <c r="O39" s="38">
        <v>3.3013485389238789E-2</v>
      </c>
      <c r="P39" s="38">
        <v>3.8926737817078248E-2</v>
      </c>
      <c r="Q39" s="38">
        <v>3.4414507431842267E-2</v>
      </c>
      <c r="R39" s="38">
        <v>3.855380984188321E-2</v>
      </c>
      <c r="S39" s="38">
        <v>4.7274615494519175E-2</v>
      </c>
      <c r="T39" s="38">
        <v>3.9484375532873144E-2</v>
      </c>
      <c r="U39" s="38">
        <v>3.9379417047895313E-2</v>
      </c>
      <c r="V39" s="38">
        <v>2.9786769855917144E-2</v>
      </c>
      <c r="W39" s="38">
        <v>4.6598811588955208E-2</v>
      </c>
      <c r="X39" s="38">
        <v>8.8005830868647883E-2</v>
      </c>
      <c r="Y39" s="38">
        <v>0.15214730627630407</v>
      </c>
      <c r="Z39" s="38">
        <v>0.13943073199037762</v>
      </c>
      <c r="AA39" s="38">
        <v>6.6846828280448134E-2</v>
      </c>
      <c r="AB39" s="38">
        <v>7.2832045262387887E-2</v>
      </c>
      <c r="AC39" s="38">
        <v>0.10097675721955209</v>
      </c>
      <c r="AD39" s="38">
        <v>2.2897762338920904E-2</v>
      </c>
      <c r="AE39" s="38">
        <v>0.15919362239610291</v>
      </c>
      <c r="AF39" s="38">
        <v>0.12171975631419159</v>
      </c>
      <c r="AG39" s="38">
        <v>7.0293134769068358E-2</v>
      </c>
      <c r="AH39" s="38">
        <v>7.9526338200813493E-2</v>
      </c>
      <c r="AI39" s="38">
        <v>4.4320774484976726E-2</v>
      </c>
      <c r="AJ39" s="38">
        <v>6.9810614144495617E-2</v>
      </c>
      <c r="AK39" s="38">
        <v>1.1122683438850536</v>
      </c>
      <c r="AL39" s="38">
        <v>4.8756888585160668E-2</v>
      </c>
      <c r="AM39" s="38">
        <v>2.6166383275171335E-2</v>
      </c>
      <c r="AN39" s="38">
        <v>4.2418841397632155E-2</v>
      </c>
      <c r="AO39" s="64">
        <v>3.2746548162525553</v>
      </c>
      <c r="AP39" s="65">
        <v>2.5320714223932583</v>
      </c>
    </row>
    <row r="40" spans="1:42">
      <c r="A40" s="10">
        <v>35</v>
      </c>
      <c r="B40" s="10" t="s">
        <v>133</v>
      </c>
      <c r="C40" s="12" t="s">
        <v>193</v>
      </c>
      <c r="D40" s="38">
        <v>8.2306365977461977E-4</v>
      </c>
      <c r="E40" s="38">
        <v>5.8373508314977477E-4</v>
      </c>
      <c r="F40" s="38">
        <v>6.3869414788648277E-4</v>
      </c>
      <c r="G40" s="38">
        <v>2.0277025053164568E-4</v>
      </c>
      <c r="H40" s="38">
        <v>2.4835490902196241E-4</v>
      </c>
      <c r="I40" s="38">
        <v>4.4563795989720011E-4</v>
      </c>
      <c r="J40" s="38">
        <v>1.9015148930844267E-4</v>
      </c>
      <c r="K40" s="38">
        <v>2.3436574313732918E-4</v>
      </c>
      <c r="L40" s="38">
        <v>6.3301426354701591E-4</v>
      </c>
      <c r="M40" s="38">
        <v>1.9751624149750717E-4</v>
      </c>
      <c r="N40" s="38">
        <v>1.9670317812675399E-4</v>
      </c>
      <c r="O40" s="38">
        <v>2.4359756956311208E-4</v>
      </c>
      <c r="P40" s="38">
        <v>3.2459598221529234E-4</v>
      </c>
      <c r="Q40" s="38">
        <v>2.6283914175346537E-4</v>
      </c>
      <c r="R40" s="38">
        <v>2.9433243735072265E-4</v>
      </c>
      <c r="S40" s="38">
        <v>4.5002032111982087E-4</v>
      </c>
      <c r="T40" s="38">
        <v>3.1820403064934221E-4</v>
      </c>
      <c r="U40" s="38">
        <v>4.1992962002588522E-4</v>
      </c>
      <c r="V40" s="38">
        <v>1.9884697000016122E-4</v>
      </c>
      <c r="W40" s="38">
        <v>4.3102182846649226E-4</v>
      </c>
      <c r="X40" s="38">
        <v>6.0304806063041618E-4</v>
      </c>
      <c r="Y40" s="38">
        <v>5.7676677530590524E-4</v>
      </c>
      <c r="Z40" s="38">
        <v>9.5482949892258969E-4</v>
      </c>
      <c r="AA40" s="38">
        <v>3.3399473604802754E-4</v>
      </c>
      <c r="AB40" s="38">
        <v>9.5267927813679366E-4</v>
      </c>
      <c r="AC40" s="38">
        <v>8.0628107963423329E-4</v>
      </c>
      <c r="AD40" s="38">
        <v>6.968468006439423E-4</v>
      </c>
      <c r="AE40" s="38">
        <v>7.9946399474972848E-4</v>
      </c>
      <c r="AF40" s="38">
        <v>9.1996438726205422E-3</v>
      </c>
      <c r="AG40" s="38">
        <v>6.4122290338994596E-4</v>
      </c>
      <c r="AH40" s="38">
        <v>9.4947346910420512E-3</v>
      </c>
      <c r="AI40" s="38">
        <v>2.0830111539940827E-2</v>
      </c>
      <c r="AJ40" s="38">
        <v>2.4646922962657373E-3</v>
      </c>
      <c r="AK40" s="38">
        <v>2.2482519761663424E-3</v>
      </c>
      <c r="AL40" s="38">
        <v>1.0105185426005374</v>
      </c>
      <c r="AM40" s="38">
        <v>2.4518345121637015E-4</v>
      </c>
      <c r="AN40" s="38">
        <v>3.2065306715517374E-3</v>
      </c>
      <c r="AO40" s="64">
        <v>1.0719102190538254</v>
      </c>
      <c r="AP40" s="65">
        <v>0.82883643783362415</v>
      </c>
    </row>
    <row r="41" spans="1:42">
      <c r="A41" s="10">
        <v>36</v>
      </c>
      <c r="B41" s="10" t="s">
        <v>135</v>
      </c>
      <c r="C41" s="12" t="s">
        <v>194</v>
      </c>
      <c r="D41" s="38">
        <v>7.5562477085263171E-4</v>
      </c>
      <c r="E41" s="38">
        <v>1.7419029071593058E-3</v>
      </c>
      <c r="F41" s="38">
        <v>1.1388380314486498E-3</v>
      </c>
      <c r="G41" s="38">
        <v>1.5676810884906098E-3</v>
      </c>
      <c r="H41" s="38">
        <v>1.1088417187185011E-3</v>
      </c>
      <c r="I41" s="38">
        <v>1.1174285879100745E-3</v>
      </c>
      <c r="J41" s="38">
        <v>5.2977064311219299E-4</v>
      </c>
      <c r="K41" s="38">
        <v>3.8607985678908678E-4</v>
      </c>
      <c r="L41" s="38">
        <v>1.5610494426498383E-3</v>
      </c>
      <c r="M41" s="38">
        <v>7.0017014175428253E-4</v>
      </c>
      <c r="N41" s="38">
        <v>8.0334007648667522E-4</v>
      </c>
      <c r="O41" s="38">
        <v>9.6691790161018037E-4</v>
      </c>
      <c r="P41" s="38">
        <v>1.0296317605063155E-3</v>
      </c>
      <c r="Q41" s="38">
        <v>1.2851022461486243E-3</v>
      </c>
      <c r="R41" s="38">
        <v>1.1040172234163545E-3</v>
      </c>
      <c r="S41" s="38">
        <v>2.928071813707884E-3</v>
      </c>
      <c r="T41" s="38">
        <v>9.9979108428776349E-4</v>
      </c>
      <c r="U41" s="38">
        <v>1.238385786906357E-3</v>
      </c>
      <c r="V41" s="38">
        <v>6.3900300265107041E-4</v>
      </c>
      <c r="W41" s="38">
        <v>2.2372882310939682E-3</v>
      </c>
      <c r="X41" s="38">
        <v>1.3920214028100768E-3</v>
      </c>
      <c r="Y41" s="38">
        <v>6.3791807464781539E-4</v>
      </c>
      <c r="Z41" s="38">
        <v>1.7267549556576501E-3</v>
      </c>
      <c r="AA41" s="38">
        <v>3.3183813367017056E-3</v>
      </c>
      <c r="AB41" s="38">
        <v>2.4388273227236726E-3</v>
      </c>
      <c r="AC41" s="38">
        <v>3.9627839311292684E-3</v>
      </c>
      <c r="AD41" s="38">
        <v>6.0480136975791566E-4</v>
      </c>
      <c r="AE41" s="38">
        <v>2.2598698514678718E-3</v>
      </c>
      <c r="AF41" s="38">
        <v>2.7270691824010105E-3</v>
      </c>
      <c r="AG41" s="38">
        <v>3.2819512307951781E-3</v>
      </c>
      <c r="AH41" s="38">
        <v>4.4248290735563779E-3</v>
      </c>
      <c r="AI41" s="38">
        <v>2.8592872973331302E-3</v>
      </c>
      <c r="AJ41" s="38">
        <v>5.106853685418202E-3</v>
      </c>
      <c r="AK41" s="38">
        <v>1.9928795279651134E-3</v>
      </c>
      <c r="AL41" s="38">
        <v>2.3786499362222439E-3</v>
      </c>
      <c r="AM41" s="38">
        <v>1.0007605864650078</v>
      </c>
      <c r="AN41" s="38">
        <v>1.0183955533829771E-3</v>
      </c>
      <c r="AO41" s="64">
        <v>1.0647307965126782</v>
      </c>
      <c r="AP41" s="65">
        <v>0.82328507084510949</v>
      </c>
    </row>
    <row r="42" spans="1:42">
      <c r="A42" s="58">
        <v>37</v>
      </c>
      <c r="B42" s="10" t="s">
        <v>136</v>
      </c>
      <c r="C42" s="12" t="s">
        <v>195</v>
      </c>
      <c r="D42" s="38">
        <v>5.672410409984981E-3</v>
      </c>
      <c r="E42" s="38">
        <v>4.2949387856663444E-3</v>
      </c>
      <c r="F42" s="38">
        <v>2.851455666361147E-3</v>
      </c>
      <c r="G42" s="38">
        <v>2.4570103072875729E-3</v>
      </c>
      <c r="H42" s="38">
        <v>2.5455419588190642E-3</v>
      </c>
      <c r="I42" s="38">
        <v>1.2125943020203376E-3</v>
      </c>
      <c r="J42" s="38">
        <v>1.3049621743392793E-2</v>
      </c>
      <c r="K42" s="38">
        <v>1.5114510847091607E-3</v>
      </c>
      <c r="L42" s="38">
        <v>8.3622864547051434E-3</v>
      </c>
      <c r="M42" s="38">
        <v>7.907936969863744E-3</v>
      </c>
      <c r="N42" s="38">
        <v>3.2671648095310901E-3</v>
      </c>
      <c r="O42" s="38">
        <v>3.3511009589157347E-3</v>
      </c>
      <c r="P42" s="38">
        <v>5.4272257049882752E-3</v>
      </c>
      <c r="Q42" s="38">
        <v>4.2166196173007708E-3</v>
      </c>
      <c r="R42" s="38">
        <v>2.3659856327478673E-3</v>
      </c>
      <c r="S42" s="38">
        <v>1.0948466927846678E-3</v>
      </c>
      <c r="T42" s="38">
        <v>1.4856426028721085E-3</v>
      </c>
      <c r="U42" s="38">
        <v>1.2665061903281499E-3</v>
      </c>
      <c r="V42" s="38">
        <v>1.0609354381595937E-3</v>
      </c>
      <c r="W42" s="38">
        <v>1.9526907986410513E-3</v>
      </c>
      <c r="X42" s="38">
        <v>9.7632618848069296E-3</v>
      </c>
      <c r="Y42" s="38">
        <v>2.9875338429551195E-3</v>
      </c>
      <c r="Z42" s="38">
        <v>6.4404381815447859E-3</v>
      </c>
      <c r="AA42" s="38">
        <v>5.6298835937532987E-3</v>
      </c>
      <c r="AB42" s="38">
        <v>3.413366080743655E-3</v>
      </c>
      <c r="AC42" s="38">
        <v>7.6665012577554212E-3</v>
      </c>
      <c r="AD42" s="38">
        <v>2.462328816094022E-3</v>
      </c>
      <c r="AE42" s="38">
        <v>1.9741560783548876E-3</v>
      </c>
      <c r="AF42" s="38">
        <v>3.848123294006921E-3</v>
      </c>
      <c r="AG42" s="38">
        <v>9.2367712224479775E-4</v>
      </c>
      <c r="AH42" s="38">
        <v>4.8974112458369228E-3</v>
      </c>
      <c r="AI42" s="38">
        <v>2.705750777111768E-3</v>
      </c>
      <c r="AJ42" s="38">
        <v>8.9510915710221788E-3</v>
      </c>
      <c r="AK42" s="38">
        <v>3.4989703931844356E-3</v>
      </c>
      <c r="AL42" s="38">
        <v>5.4277217795272569E-3</v>
      </c>
      <c r="AM42" s="38">
        <v>1.385108630450751E-3</v>
      </c>
      <c r="AN42" s="38">
        <v>1.0008791690847567</v>
      </c>
      <c r="AO42" s="64">
        <v>1.1482084597632294</v>
      </c>
      <c r="AP42" s="65">
        <v>0.88783276133017186</v>
      </c>
    </row>
    <row r="43" spans="1:42">
      <c r="A43" s="19"/>
      <c r="B43" s="11"/>
      <c r="C43" s="13" t="s">
        <v>27</v>
      </c>
      <c r="D43" s="33">
        <v>1.3328236722987623</v>
      </c>
      <c r="E43" s="33">
        <v>1.5939544186575956</v>
      </c>
      <c r="F43" s="33">
        <v>1.361377181153292</v>
      </c>
      <c r="G43" s="33">
        <v>1.2406658999923248</v>
      </c>
      <c r="H43" s="33">
        <v>1.3334922057426071</v>
      </c>
      <c r="I43" s="33">
        <v>1.239364300655037</v>
      </c>
      <c r="J43" s="33">
        <v>1.2110805348176201</v>
      </c>
      <c r="K43" s="33">
        <v>1.1900716216512242</v>
      </c>
      <c r="L43" s="33">
        <v>1.3314433174519076</v>
      </c>
      <c r="M43" s="33">
        <v>1.2269619804800662</v>
      </c>
      <c r="N43" s="33">
        <v>1.2287398913985865</v>
      </c>
      <c r="O43" s="33">
        <v>1.1867902595633784</v>
      </c>
      <c r="P43" s="33">
        <v>1.1890772854546607</v>
      </c>
      <c r="Q43" s="33">
        <v>1.1888586340728178</v>
      </c>
      <c r="R43" s="33">
        <v>1.2387362898157295</v>
      </c>
      <c r="S43" s="33">
        <v>1.2158085265709961</v>
      </c>
      <c r="T43" s="33">
        <v>1.1849892950195116</v>
      </c>
      <c r="U43" s="33">
        <v>1.1908161572946132</v>
      </c>
      <c r="V43" s="33">
        <v>1.1645332810681923</v>
      </c>
      <c r="W43" s="33">
        <v>1.3372511410191443</v>
      </c>
      <c r="X43" s="33">
        <v>1.3083134982090687</v>
      </c>
      <c r="Y43" s="33">
        <v>1.3986117864033558</v>
      </c>
      <c r="Z43" s="33">
        <v>1.5048134586498341</v>
      </c>
      <c r="AA43" s="33">
        <v>1.3067881489211246</v>
      </c>
      <c r="AB43" s="33">
        <v>1.288569272904313</v>
      </c>
      <c r="AC43" s="33">
        <v>1.3433890085569988</v>
      </c>
      <c r="AD43" s="33">
        <v>1.180638336428212</v>
      </c>
      <c r="AE43" s="33">
        <v>1.3990391549171277</v>
      </c>
      <c r="AF43" s="33">
        <v>1.3959984395264105</v>
      </c>
      <c r="AG43" s="33">
        <v>1.2379150785190385</v>
      </c>
      <c r="AH43" s="33">
        <v>1.2629504690912234</v>
      </c>
      <c r="AI43" s="33">
        <v>1.2263668489868083</v>
      </c>
      <c r="AJ43" s="33">
        <v>1.2988345257670961</v>
      </c>
      <c r="AK43" s="33">
        <v>1.2624738331975538</v>
      </c>
      <c r="AL43" s="33">
        <v>1.3718330577208138</v>
      </c>
      <c r="AM43" s="33">
        <v>1.5232940330181788</v>
      </c>
      <c r="AN43" s="33">
        <v>1.354366184305142</v>
      </c>
      <c r="AO43" s="62"/>
      <c r="AP43" s="66"/>
    </row>
    <row r="44" spans="1:42">
      <c r="A44" s="6"/>
      <c r="B44" s="11"/>
      <c r="C44" s="13" t="s">
        <v>28</v>
      </c>
      <c r="D44" s="33">
        <v>1.0305833503327801</v>
      </c>
      <c r="E44" s="33">
        <v>1.232498281055185</v>
      </c>
      <c r="F44" s="33">
        <v>1.0526618678671398</v>
      </c>
      <c r="G44" s="33">
        <v>0.95932391240655746</v>
      </c>
      <c r="H44" s="33">
        <v>1.0311002825051949</v>
      </c>
      <c r="I44" s="33">
        <v>0.95831747274488832</v>
      </c>
      <c r="J44" s="33">
        <v>0.93644752943387322</v>
      </c>
      <c r="K44" s="33">
        <v>0.92020274284441239</v>
      </c>
      <c r="L44" s="33">
        <v>1.0295160143060527</v>
      </c>
      <c r="M44" s="33">
        <v>0.94872758854379491</v>
      </c>
      <c r="N44" s="33">
        <v>0.95010232807542527</v>
      </c>
      <c r="O44" s="33">
        <v>0.91766548513776125</v>
      </c>
      <c r="P44" s="33">
        <v>0.91943388920674851</v>
      </c>
      <c r="Q44" s="33">
        <v>0.91926482072579485</v>
      </c>
      <c r="R44" s="33">
        <v>0.95783187399070158</v>
      </c>
      <c r="S44" s="33">
        <v>0.94010336904927871</v>
      </c>
      <c r="T44" s="33">
        <v>0.91627291978044911</v>
      </c>
      <c r="U44" s="33">
        <v>0.92077844243150231</v>
      </c>
      <c r="V44" s="33">
        <v>0.90045565315279052</v>
      </c>
      <c r="W44" s="33">
        <v>1.0340068155984257</v>
      </c>
      <c r="X44" s="33">
        <v>1.0116312729833212</v>
      </c>
      <c r="Y44" s="33">
        <v>1.0814528962863348</v>
      </c>
      <c r="Z44" s="33">
        <v>1.1635715421878952</v>
      </c>
      <c r="AA44" s="33">
        <v>1.0104518224586423</v>
      </c>
      <c r="AB44" s="33">
        <v>0.9963643848816075</v>
      </c>
      <c r="AC44" s="33">
        <v>1.0387528178060177</v>
      </c>
      <c r="AD44" s="33">
        <v>0.91290861467739914</v>
      </c>
      <c r="AE44" s="33">
        <v>1.081783351757605</v>
      </c>
      <c r="AF44" s="33">
        <v>1.0794321700372436</v>
      </c>
      <c r="AG44" s="33">
        <v>0.95719688625221455</v>
      </c>
      <c r="AH44" s="33">
        <v>0.97655507835895605</v>
      </c>
      <c r="AI44" s="33">
        <v>0.94826741318755103</v>
      </c>
      <c r="AJ44" s="33">
        <v>1.0043018179473737</v>
      </c>
      <c r="AK44" s="33">
        <v>0.9761865277198909</v>
      </c>
      <c r="AL44" s="33">
        <v>1.060746697486828</v>
      </c>
      <c r="AM44" s="33">
        <v>1.1778613335867483</v>
      </c>
      <c r="AN44" s="33">
        <v>1.0472407331956066</v>
      </c>
      <c r="AO44" s="64"/>
      <c r="AP44" s="67"/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6CB0-E8A9-42F3-B241-BC14A972D5B6}">
  <dimension ref="A1:L129"/>
  <sheetViews>
    <sheetView workbookViewId="0">
      <pane xSplit="3" ySplit="5" topLeftCell="D6" activePane="bottomRight" state="frozen"/>
      <selection activeCell="H40" sqref="H40"/>
      <selection pane="topRight" activeCell="H40" sqref="H40"/>
      <selection pane="bottomLeft" activeCell="H40" sqref="H40"/>
      <selection pane="bottomRight"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1.59765625" style="1" customWidth="1"/>
    <col min="4" max="163" width="10.59765625" style="1" customWidth="1"/>
    <col min="164" max="16384" width="8.69921875" style="1"/>
  </cols>
  <sheetData>
    <row r="1" spans="1:12">
      <c r="A1" s="1" t="s">
        <v>226</v>
      </c>
    </row>
    <row r="2" spans="1:12">
      <c r="A2" s="1" t="s">
        <v>166</v>
      </c>
      <c r="L2" s="68" t="s">
        <v>207</v>
      </c>
    </row>
    <row r="3" spans="1:12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20">
        <v>9</v>
      </c>
    </row>
    <row r="4" spans="1:12">
      <c r="A4" s="10"/>
      <c r="B4" s="16"/>
      <c r="C4" s="18"/>
      <c r="D4" s="2" t="s">
        <v>138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150</v>
      </c>
      <c r="J4" s="4" t="s">
        <v>154</v>
      </c>
      <c r="K4" s="3" t="s">
        <v>155</v>
      </c>
      <c r="L4" s="5"/>
    </row>
    <row r="5" spans="1:12" ht="48" customHeight="1">
      <c r="A5" s="6"/>
      <c r="B5" s="15"/>
      <c r="C5" s="69" t="s">
        <v>225</v>
      </c>
      <c r="D5" s="53" t="s">
        <v>6</v>
      </c>
      <c r="E5" s="7" t="s">
        <v>70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12</v>
      </c>
      <c r="K5" s="9" t="s">
        <v>13</v>
      </c>
      <c r="L5" s="8" t="s">
        <v>169</v>
      </c>
    </row>
    <row r="6" spans="1:12">
      <c r="A6" s="10">
        <v>1</v>
      </c>
      <c r="B6" s="10" t="s">
        <v>75</v>
      </c>
      <c r="C6" s="12" t="s">
        <v>179</v>
      </c>
      <c r="D6" s="55">
        <v>1358.5022455070834</v>
      </c>
      <c r="E6" s="21">
        <v>37648.875437367598</v>
      </c>
      <c r="F6" s="21">
        <v>1792.3630867514341</v>
      </c>
      <c r="G6" s="21">
        <v>367.26863919659291</v>
      </c>
      <c r="H6" s="21">
        <v>2591.4645490254629</v>
      </c>
      <c r="I6" s="21">
        <v>1826.5115902400173</v>
      </c>
      <c r="J6" s="27">
        <v>3503.5788969917853</v>
      </c>
      <c r="K6" s="57">
        <v>304127.43555492</v>
      </c>
      <c r="L6" s="23">
        <v>353216</v>
      </c>
    </row>
    <row r="7" spans="1:12">
      <c r="A7" s="10">
        <v>2</v>
      </c>
      <c r="B7" s="10" t="s">
        <v>77</v>
      </c>
      <c r="C7" s="12" t="s">
        <v>180</v>
      </c>
      <c r="D7" s="55">
        <v>6.2756276431605214</v>
      </c>
      <c r="E7" s="21">
        <v>805.19086629823414</v>
      </c>
      <c r="F7" s="21">
        <v>180.82784951759317</v>
      </c>
      <c r="G7" s="21">
        <v>248.88290707030313</v>
      </c>
      <c r="H7" s="21">
        <v>404.14208066183062</v>
      </c>
      <c r="I7" s="21">
        <v>64.515751666028279</v>
      </c>
      <c r="J7" s="21">
        <v>551.49974895321748</v>
      </c>
      <c r="K7" s="23">
        <v>1957.6651681896331</v>
      </c>
      <c r="L7" s="23">
        <v>4219.0000000000009</v>
      </c>
    </row>
    <row r="8" spans="1:12">
      <c r="A8" s="10">
        <v>3</v>
      </c>
      <c r="B8" s="10" t="s">
        <v>79</v>
      </c>
      <c r="C8" s="12" t="s">
        <v>181</v>
      </c>
      <c r="D8" s="55">
        <v>3928.646971723409</v>
      </c>
      <c r="E8" s="21">
        <v>94125.66816413957</v>
      </c>
      <c r="F8" s="21">
        <v>2503.2440664728847</v>
      </c>
      <c r="G8" s="21">
        <v>73.192464913882105</v>
      </c>
      <c r="H8" s="21">
        <v>583.75240865499131</v>
      </c>
      <c r="I8" s="21">
        <v>-501.32650903620151</v>
      </c>
      <c r="J8" s="21">
        <v>9755.9169456205873</v>
      </c>
      <c r="K8" s="23">
        <v>574402.90548751131</v>
      </c>
      <c r="L8" s="23">
        <v>684872.00000000047</v>
      </c>
    </row>
    <row r="9" spans="1:12">
      <c r="A9" s="10">
        <v>4</v>
      </c>
      <c r="B9" s="10" t="s">
        <v>81</v>
      </c>
      <c r="C9" s="12" t="s">
        <v>82</v>
      </c>
      <c r="D9" s="55">
        <v>84.657890957663824</v>
      </c>
      <c r="E9" s="21">
        <v>2408.870081635403</v>
      </c>
      <c r="F9" s="21">
        <v>284.63724686562637</v>
      </c>
      <c r="G9" s="21">
        <v>71.956163119400159</v>
      </c>
      <c r="H9" s="21">
        <v>238.65059413874849</v>
      </c>
      <c r="I9" s="21">
        <v>-57.053739093455384</v>
      </c>
      <c r="J9" s="21">
        <v>1506.5031538858645</v>
      </c>
      <c r="K9" s="23">
        <v>9924.7786084907439</v>
      </c>
      <c r="L9" s="23">
        <v>14462.999999999995</v>
      </c>
    </row>
    <row r="10" spans="1:12">
      <c r="A10" s="10">
        <v>5</v>
      </c>
      <c r="B10" s="10" t="s">
        <v>83</v>
      </c>
      <c r="C10" s="12" t="s">
        <v>84</v>
      </c>
      <c r="D10" s="55">
        <v>744.15272271965819</v>
      </c>
      <c r="E10" s="21">
        <v>9911.5585768174078</v>
      </c>
      <c r="F10" s="21">
        <v>4624.8829538155005</v>
      </c>
      <c r="G10" s="21">
        <v>6640.3994395198079</v>
      </c>
      <c r="H10" s="21">
        <v>12748.991288546964</v>
      </c>
      <c r="I10" s="21">
        <v>-757.978933648267</v>
      </c>
      <c r="J10" s="21">
        <v>4285.4217544800695</v>
      </c>
      <c r="K10" s="23">
        <v>86160.572197748887</v>
      </c>
      <c r="L10" s="23">
        <v>124358.00000000003</v>
      </c>
    </row>
    <row r="11" spans="1:12">
      <c r="A11" s="10">
        <v>6</v>
      </c>
      <c r="B11" s="10" t="s">
        <v>85</v>
      </c>
      <c r="C11" s="12" t="s">
        <v>86</v>
      </c>
      <c r="D11" s="55">
        <v>114.96668829729605</v>
      </c>
      <c r="E11" s="21">
        <v>1879.1922252668603</v>
      </c>
      <c r="F11" s="21">
        <v>3224.7556350566215</v>
      </c>
      <c r="G11" s="21">
        <v>84.9388343583324</v>
      </c>
      <c r="H11" s="21">
        <v>213.55756898265153</v>
      </c>
      <c r="I11" s="21">
        <v>51.934540763409913</v>
      </c>
      <c r="J11" s="21">
        <v>24367.547086595685</v>
      </c>
      <c r="K11" s="23">
        <v>103142.10742067907</v>
      </c>
      <c r="L11" s="23">
        <v>133078.99999999991</v>
      </c>
    </row>
    <row r="12" spans="1:12">
      <c r="A12" s="10">
        <v>7</v>
      </c>
      <c r="B12" s="10" t="s">
        <v>87</v>
      </c>
      <c r="C12" s="12" t="s">
        <v>88</v>
      </c>
      <c r="D12" s="55">
        <v>64.328980867813328</v>
      </c>
      <c r="E12" s="21">
        <v>4546.743790827587</v>
      </c>
      <c r="F12" s="21">
        <v>543.10486643745196</v>
      </c>
      <c r="G12" s="21">
        <v>327.78994468229587</v>
      </c>
      <c r="H12" s="21">
        <v>641.81354263564754</v>
      </c>
      <c r="I12" s="21">
        <v>10.211054876280881</v>
      </c>
      <c r="J12" s="21">
        <v>397.22507250877652</v>
      </c>
      <c r="K12" s="23">
        <v>1585.7827471641585</v>
      </c>
      <c r="L12" s="23">
        <v>8117.0000000000118</v>
      </c>
    </row>
    <row r="13" spans="1:12">
      <c r="A13" s="10">
        <v>8</v>
      </c>
      <c r="B13" s="10" t="s">
        <v>89</v>
      </c>
      <c r="C13" s="12" t="s">
        <v>182</v>
      </c>
      <c r="D13" s="55">
        <v>119.24645403107614</v>
      </c>
      <c r="E13" s="21">
        <v>3450.5557811879185</v>
      </c>
      <c r="F13" s="21">
        <v>942.3203330645033</v>
      </c>
      <c r="G13" s="21">
        <v>850.95469980229188</v>
      </c>
      <c r="H13" s="21">
        <v>1784.9879862467553</v>
      </c>
      <c r="I13" s="21">
        <v>-189.36702313038978</v>
      </c>
      <c r="J13" s="21">
        <v>34521.14643994697</v>
      </c>
      <c r="K13" s="23">
        <v>155149.15532885067</v>
      </c>
      <c r="L13" s="23">
        <v>196628.9999999998</v>
      </c>
    </row>
    <row r="14" spans="1:12">
      <c r="A14" s="10">
        <v>9</v>
      </c>
      <c r="B14" s="10" t="s">
        <v>91</v>
      </c>
      <c r="C14" s="12" t="s">
        <v>92</v>
      </c>
      <c r="D14" s="55">
        <v>106.06503897933067</v>
      </c>
      <c r="E14" s="21">
        <v>1878.220082952663</v>
      </c>
      <c r="F14" s="21">
        <v>936.32734763897736</v>
      </c>
      <c r="G14" s="21">
        <v>8205.5380975346543</v>
      </c>
      <c r="H14" s="21">
        <v>12340.90254112024</v>
      </c>
      <c r="I14" s="21">
        <v>-2359.6869004038249</v>
      </c>
      <c r="J14" s="21">
        <v>41749.828361231812</v>
      </c>
      <c r="K14" s="23">
        <v>74404.805430946231</v>
      </c>
      <c r="L14" s="23">
        <v>137262.00000000009</v>
      </c>
    </row>
    <row r="15" spans="1:12">
      <c r="A15" s="10">
        <v>10</v>
      </c>
      <c r="B15" s="10" t="s">
        <v>93</v>
      </c>
      <c r="C15" s="12" t="s">
        <v>94</v>
      </c>
      <c r="D15" s="55">
        <v>5.4540009221172889</v>
      </c>
      <c r="E15" s="21">
        <v>118.42738948224623</v>
      </c>
      <c r="F15" s="21">
        <v>44.331649498065516</v>
      </c>
      <c r="G15" s="21">
        <v>606.07238979246608</v>
      </c>
      <c r="H15" s="21">
        <v>1065.0107692603867</v>
      </c>
      <c r="I15" s="21">
        <v>-126.65973813642935</v>
      </c>
      <c r="J15" s="21">
        <v>8552.0564733981555</v>
      </c>
      <c r="K15" s="23">
        <v>22693.307065782992</v>
      </c>
      <c r="L15" s="23">
        <v>32958</v>
      </c>
    </row>
    <row r="16" spans="1:12">
      <c r="A16" s="10">
        <v>11</v>
      </c>
      <c r="B16" s="10" t="s">
        <v>95</v>
      </c>
      <c r="C16" s="12" t="s">
        <v>96</v>
      </c>
      <c r="D16" s="55">
        <v>7.6000909008451529</v>
      </c>
      <c r="E16" s="21">
        <v>332.78972675418805</v>
      </c>
      <c r="F16" s="21">
        <v>128.50459455244174</v>
      </c>
      <c r="G16" s="21">
        <v>283.17120570241116</v>
      </c>
      <c r="H16" s="21">
        <v>413.44338579802394</v>
      </c>
      <c r="I16" s="21">
        <v>-98.904484269804968</v>
      </c>
      <c r="J16" s="21">
        <v>20276.710517563952</v>
      </c>
      <c r="K16" s="23">
        <v>76926.684962997941</v>
      </c>
      <c r="L16" s="23">
        <v>98270</v>
      </c>
    </row>
    <row r="17" spans="1:12">
      <c r="A17" s="10">
        <v>12</v>
      </c>
      <c r="B17" s="10" t="s">
        <v>97</v>
      </c>
      <c r="C17" s="12" t="s">
        <v>98</v>
      </c>
      <c r="D17" s="55">
        <v>241.84675329511757</v>
      </c>
      <c r="E17" s="21">
        <v>3837.8241590544117</v>
      </c>
      <c r="F17" s="21">
        <v>1158.1040658524623</v>
      </c>
      <c r="G17" s="21">
        <v>10566.754322586616</v>
      </c>
      <c r="H17" s="21">
        <v>17905.093135087867</v>
      </c>
      <c r="I17" s="21">
        <v>-1228.5161986097573</v>
      </c>
      <c r="J17" s="21">
        <v>19361.571848881318</v>
      </c>
      <c r="K17" s="23">
        <v>213952.32191385218</v>
      </c>
      <c r="L17" s="23">
        <v>265795.00000000023</v>
      </c>
    </row>
    <row r="18" spans="1:12">
      <c r="A18" s="10">
        <v>13</v>
      </c>
      <c r="B18" s="10" t="s">
        <v>99</v>
      </c>
      <c r="C18" s="12" t="s">
        <v>183</v>
      </c>
      <c r="D18" s="55">
        <v>8.1588497426594273</v>
      </c>
      <c r="E18" s="21">
        <v>347.60915336986119</v>
      </c>
      <c r="F18" s="21">
        <v>134.95932455849595</v>
      </c>
      <c r="G18" s="21">
        <v>1037.4632377634296</v>
      </c>
      <c r="H18" s="21">
        <v>10329.948467979941</v>
      </c>
      <c r="I18" s="21">
        <v>-631.89370353234415</v>
      </c>
      <c r="J18" s="21">
        <v>74216.047251126147</v>
      </c>
      <c r="K18" s="23">
        <v>207228.70741899181</v>
      </c>
      <c r="L18" s="23">
        <v>292671</v>
      </c>
    </row>
    <row r="19" spans="1:12">
      <c r="A19" s="10">
        <v>14</v>
      </c>
      <c r="B19" s="10" t="s">
        <v>100</v>
      </c>
      <c r="C19" s="12" t="s">
        <v>184</v>
      </c>
      <c r="D19" s="55">
        <v>15.497700609719089</v>
      </c>
      <c r="E19" s="21">
        <v>540.03501956064679</v>
      </c>
      <c r="F19" s="21">
        <v>251.25596243063478</v>
      </c>
      <c r="G19" s="21">
        <v>334.32355163776572</v>
      </c>
      <c r="H19" s="21">
        <v>34199.197040214844</v>
      </c>
      <c r="I19" s="21">
        <v>-1664.1958396166019</v>
      </c>
      <c r="J19" s="21">
        <v>281602.34641973546</v>
      </c>
      <c r="K19" s="23">
        <v>285326.54014542786</v>
      </c>
      <c r="L19" s="23">
        <v>600605.00000000035</v>
      </c>
    </row>
    <row r="20" spans="1:12">
      <c r="A20" s="10">
        <v>15</v>
      </c>
      <c r="B20" s="10" t="s">
        <v>101</v>
      </c>
      <c r="C20" s="12" t="s">
        <v>185</v>
      </c>
      <c r="D20" s="55">
        <v>65.977911053246658</v>
      </c>
      <c r="E20" s="21">
        <v>1504.2747682068368</v>
      </c>
      <c r="F20" s="21">
        <v>3533.1494079377053</v>
      </c>
      <c r="G20" s="21">
        <v>2658.8751992604075</v>
      </c>
      <c r="H20" s="21">
        <v>14933.414013225476</v>
      </c>
      <c r="I20" s="21">
        <v>-914.08710507742387</v>
      </c>
      <c r="J20" s="21">
        <v>52447.521134072238</v>
      </c>
      <c r="K20" s="23">
        <v>133051.8746713216</v>
      </c>
      <c r="L20" s="23">
        <v>207281.00000000009</v>
      </c>
    </row>
    <row r="21" spans="1:12">
      <c r="A21" s="10">
        <v>16</v>
      </c>
      <c r="B21" s="10" t="s">
        <v>102</v>
      </c>
      <c r="C21" s="12" t="s">
        <v>186</v>
      </c>
      <c r="D21" s="55">
        <v>9.4791754556148806</v>
      </c>
      <c r="E21" s="21">
        <v>442.52072166654438</v>
      </c>
      <c r="F21" s="21">
        <v>174.89998506856028</v>
      </c>
      <c r="G21" s="21">
        <v>124.46731832373365</v>
      </c>
      <c r="H21" s="21">
        <v>465.69633315248859</v>
      </c>
      <c r="I21" s="21">
        <v>80.087411203822128</v>
      </c>
      <c r="J21" s="21">
        <v>450019.22763816838</v>
      </c>
      <c r="K21" s="23">
        <v>177166.62141696081</v>
      </c>
      <c r="L21" s="23">
        <v>628483</v>
      </c>
    </row>
    <row r="22" spans="1:12">
      <c r="A22" s="10">
        <v>17</v>
      </c>
      <c r="B22" s="10" t="s">
        <v>104</v>
      </c>
      <c r="C22" s="12" t="s">
        <v>105</v>
      </c>
      <c r="D22" s="55">
        <v>65.369844220949133</v>
      </c>
      <c r="E22" s="21">
        <v>4778.927982314397</v>
      </c>
      <c r="F22" s="21">
        <v>110.33637611249299</v>
      </c>
      <c r="G22" s="21">
        <v>749.08238171900734</v>
      </c>
      <c r="H22" s="21">
        <v>4822.7409747489628</v>
      </c>
      <c r="I22" s="21">
        <v>-169.06511257451672</v>
      </c>
      <c r="J22" s="21">
        <v>60223.183683228017</v>
      </c>
      <c r="K22" s="23">
        <v>197199.4238702307</v>
      </c>
      <c r="L22" s="23">
        <v>267780</v>
      </c>
    </row>
    <row r="23" spans="1:12">
      <c r="A23" s="10">
        <v>18</v>
      </c>
      <c r="B23" s="10" t="s">
        <v>106</v>
      </c>
      <c r="C23" s="12" t="s">
        <v>187</v>
      </c>
      <c r="D23" s="55">
        <v>53.556951496426379</v>
      </c>
      <c r="E23" s="21">
        <v>7556.194078704717</v>
      </c>
      <c r="F23" s="21">
        <v>85.300296808777134</v>
      </c>
      <c r="G23" s="21">
        <v>2749.0842848399247</v>
      </c>
      <c r="H23" s="21">
        <v>7637.5382317232288</v>
      </c>
      <c r="I23" s="21">
        <v>-905.94728188149236</v>
      </c>
      <c r="J23" s="21">
        <v>66209.515830024626</v>
      </c>
      <c r="K23" s="23">
        <v>358455.75760828383</v>
      </c>
      <c r="L23" s="23">
        <v>441841.00000000006</v>
      </c>
    </row>
    <row r="24" spans="1:12">
      <c r="A24" s="10">
        <v>19</v>
      </c>
      <c r="B24" s="10" t="s">
        <v>108</v>
      </c>
      <c r="C24" s="12" t="s">
        <v>109</v>
      </c>
      <c r="D24" s="55">
        <v>20.16662806869288</v>
      </c>
      <c r="E24" s="21">
        <v>6907.3149534965605</v>
      </c>
      <c r="F24" s="21">
        <v>516.67515622483666</v>
      </c>
      <c r="G24" s="21">
        <v>1224.2930270806398</v>
      </c>
      <c r="H24" s="21">
        <v>6264.6361443131491</v>
      </c>
      <c r="I24" s="21">
        <v>-124.13914271161046</v>
      </c>
      <c r="J24" s="21">
        <v>62304.103964673144</v>
      </c>
      <c r="K24" s="23">
        <v>275139.94926885469</v>
      </c>
      <c r="L24" s="23">
        <v>352253.00000000012</v>
      </c>
    </row>
    <row r="25" spans="1:12">
      <c r="A25" s="10">
        <v>20</v>
      </c>
      <c r="B25" s="10" t="s">
        <v>110</v>
      </c>
      <c r="C25" s="12" t="s">
        <v>66</v>
      </c>
      <c r="D25" s="55">
        <v>1620.4926900344954</v>
      </c>
      <c r="E25" s="21">
        <v>26641.706756544834</v>
      </c>
      <c r="F25" s="21">
        <v>6509.8153897285865</v>
      </c>
      <c r="G25" s="21">
        <v>2162.6344618889725</v>
      </c>
      <c r="H25" s="21">
        <v>12456.738314671051</v>
      </c>
      <c r="I25" s="21">
        <v>-3811.3601346588534</v>
      </c>
      <c r="J25" s="21">
        <v>32129.282547415569</v>
      </c>
      <c r="K25" s="23">
        <v>94264.689974375331</v>
      </c>
      <c r="L25" s="23">
        <v>171973.99999999997</v>
      </c>
    </row>
    <row r="26" spans="1:12">
      <c r="A26" s="10">
        <v>21</v>
      </c>
      <c r="B26" s="10" t="s">
        <v>111</v>
      </c>
      <c r="C26" s="12" t="s">
        <v>112</v>
      </c>
      <c r="D26" s="55">
        <v>606.86622555129486</v>
      </c>
      <c r="E26" s="21">
        <v>30611.588870275111</v>
      </c>
      <c r="F26" s="21">
        <v>12966.362330413303</v>
      </c>
      <c r="G26" s="21">
        <v>436623.04402440944</v>
      </c>
      <c r="H26" s="21">
        <v>629211.60164340795</v>
      </c>
      <c r="I26" s="21">
        <v>-34.618258439197639</v>
      </c>
      <c r="J26" s="21">
        <v>7012.5845049433228</v>
      </c>
      <c r="K26" s="23">
        <v>19297.570659438177</v>
      </c>
      <c r="L26" s="23">
        <v>1136294.9999999993</v>
      </c>
    </row>
    <row r="27" spans="1:12">
      <c r="A27" s="10">
        <v>22</v>
      </c>
      <c r="B27" s="10" t="s">
        <v>113</v>
      </c>
      <c r="C27" s="12" t="s">
        <v>188</v>
      </c>
      <c r="D27" s="55">
        <v>2165.3055434311368</v>
      </c>
      <c r="E27" s="21">
        <v>95898.723701129769</v>
      </c>
      <c r="F27" s="21">
        <v>20475.174964890728</v>
      </c>
      <c r="G27" s="21">
        <v>3007.2375966123714</v>
      </c>
      <c r="H27" s="21">
        <v>10810.169652066212</v>
      </c>
      <c r="I27" s="21">
        <v>-174.78734712172715</v>
      </c>
      <c r="J27" s="21">
        <v>22387.727491068774</v>
      </c>
      <c r="K27" s="23">
        <v>127466.44839792265</v>
      </c>
      <c r="L27" s="23">
        <v>282035.99999999988</v>
      </c>
    </row>
    <row r="28" spans="1:12">
      <c r="A28" s="10">
        <v>23</v>
      </c>
      <c r="B28" s="10" t="s">
        <v>115</v>
      </c>
      <c r="C28" s="12" t="s">
        <v>0</v>
      </c>
      <c r="D28" s="55">
        <v>883.17623795900329</v>
      </c>
      <c r="E28" s="21">
        <v>66417.249903656309</v>
      </c>
      <c r="F28" s="21">
        <v>10293.376520046788</v>
      </c>
      <c r="G28" s="21">
        <v>1166.4227465829129</v>
      </c>
      <c r="H28" s="21">
        <v>4862.2037304963296</v>
      </c>
      <c r="I28" s="21">
        <v>-2.381206876455856</v>
      </c>
      <c r="J28" s="21">
        <v>2801.2281499065048</v>
      </c>
      <c r="K28" s="23">
        <v>8223.7239182285703</v>
      </c>
      <c r="L28" s="23">
        <v>94644.999999999971</v>
      </c>
    </row>
    <row r="29" spans="1:12">
      <c r="A29" s="10">
        <v>24</v>
      </c>
      <c r="B29" s="10" t="s">
        <v>116</v>
      </c>
      <c r="C29" s="12" t="s">
        <v>1</v>
      </c>
      <c r="D29" s="55">
        <v>1639.6210737740723</v>
      </c>
      <c r="E29" s="21">
        <v>24105.847532297474</v>
      </c>
      <c r="F29" s="21">
        <v>40838.895511052004</v>
      </c>
      <c r="G29" s="21">
        <v>2002.70601399103</v>
      </c>
      <c r="H29" s="21">
        <v>6006.7988852658282</v>
      </c>
      <c r="I29" s="21">
        <v>-9.3999705356251546</v>
      </c>
      <c r="J29" s="21">
        <v>2923.8184178498177</v>
      </c>
      <c r="K29" s="23">
        <v>22046.712536305367</v>
      </c>
      <c r="L29" s="23">
        <v>99554.999999999971</v>
      </c>
    </row>
    <row r="30" spans="1:12">
      <c r="A30" s="10">
        <v>25</v>
      </c>
      <c r="B30" s="10" t="s">
        <v>117</v>
      </c>
      <c r="C30" s="12" t="s">
        <v>67</v>
      </c>
      <c r="D30" s="55">
        <v>19734.740038781063</v>
      </c>
      <c r="E30" s="21">
        <v>453309.29693206277</v>
      </c>
      <c r="F30" s="21">
        <v>39694.554461491309</v>
      </c>
      <c r="G30" s="21">
        <v>24333.731936922541</v>
      </c>
      <c r="H30" s="21">
        <v>125526.91492270371</v>
      </c>
      <c r="I30" s="21">
        <v>1437.5588818463025</v>
      </c>
      <c r="J30" s="21">
        <v>78314.685610171931</v>
      </c>
      <c r="K30" s="23">
        <v>417679.51721602009</v>
      </c>
      <c r="L30" s="23">
        <v>1160030.9999999998</v>
      </c>
    </row>
    <row r="31" spans="1:12">
      <c r="A31" s="10">
        <v>26</v>
      </c>
      <c r="B31" s="10" t="s">
        <v>118</v>
      </c>
      <c r="C31" s="12" t="s">
        <v>68</v>
      </c>
      <c r="D31" s="55">
        <v>2056.3885405307879</v>
      </c>
      <c r="E31" s="21">
        <v>322346.5310755127</v>
      </c>
      <c r="F31" s="21">
        <v>26465.453949837924</v>
      </c>
      <c r="G31" s="21">
        <v>7872.7100956779977</v>
      </c>
      <c r="H31" s="21">
        <v>20893.548821745793</v>
      </c>
      <c r="I31" s="21">
        <v>-124.7234479810337</v>
      </c>
      <c r="J31" s="21">
        <v>45683.558774937308</v>
      </c>
      <c r="K31" s="23">
        <v>64822.532189738471</v>
      </c>
      <c r="L31" s="23">
        <v>490015.99999999994</v>
      </c>
    </row>
    <row r="32" spans="1:12">
      <c r="A32" s="10">
        <v>27</v>
      </c>
      <c r="B32" s="10" t="s">
        <v>119</v>
      </c>
      <c r="C32" s="12" t="s">
        <v>120</v>
      </c>
      <c r="D32" s="55">
        <v>3457.198351265276</v>
      </c>
      <c r="E32" s="21">
        <v>1119500.4273751788</v>
      </c>
      <c r="F32" s="21">
        <v>27579.885920186356</v>
      </c>
      <c r="G32" s="21">
        <v>5594.3649392978714</v>
      </c>
      <c r="H32" s="21">
        <v>44417.988283088576</v>
      </c>
      <c r="I32" s="21">
        <v>-2.5890249116515367</v>
      </c>
      <c r="J32" s="21">
        <v>12032.187333382835</v>
      </c>
      <c r="K32" s="23">
        <v>46341.5368225122</v>
      </c>
      <c r="L32" s="23">
        <v>1258921.0000000002</v>
      </c>
    </row>
    <row r="33" spans="1:12">
      <c r="A33" s="10">
        <v>28</v>
      </c>
      <c r="B33" s="10" t="s">
        <v>121</v>
      </c>
      <c r="C33" s="12" t="s">
        <v>189</v>
      </c>
      <c r="D33" s="55">
        <v>9595.789924556253</v>
      </c>
      <c r="E33" s="21">
        <v>184513.91292904291</v>
      </c>
      <c r="F33" s="21">
        <v>54253.306000322074</v>
      </c>
      <c r="G33" s="21">
        <v>26042.653429083719</v>
      </c>
      <c r="H33" s="21">
        <v>65046.033546821491</v>
      </c>
      <c r="I33" s="21">
        <v>375.3393123577867</v>
      </c>
      <c r="J33" s="21">
        <v>55351.108608543094</v>
      </c>
      <c r="K33" s="23">
        <v>229568.85624927268</v>
      </c>
      <c r="L33" s="23">
        <v>624747</v>
      </c>
    </row>
    <row r="34" spans="1:12">
      <c r="A34" s="10">
        <v>29</v>
      </c>
      <c r="B34" s="10" t="s">
        <v>123</v>
      </c>
      <c r="C34" s="12" t="s">
        <v>190</v>
      </c>
      <c r="D34" s="55">
        <v>3349.1934903593237</v>
      </c>
      <c r="E34" s="21">
        <v>183479.54425243309</v>
      </c>
      <c r="F34" s="21">
        <v>28213.047244503767</v>
      </c>
      <c r="G34" s="21">
        <v>20148.411005842805</v>
      </c>
      <c r="H34" s="21">
        <v>114040.67506643238</v>
      </c>
      <c r="I34" s="21">
        <v>-336.11740125538881</v>
      </c>
      <c r="J34" s="21">
        <v>21940.968116178643</v>
      </c>
      <c r="K34" s="23">
        <v>121439.27822550536</v>
      </c>
      <c r="L34" s="23">
        <v>492275</v>
      </c>
    </row>
    <row r="35" spans="1:12">
      <c r="A35" s="10">
        <v>30</v>
      </c>
      <c r="B35" s="10" t="s">
        <v>125</v>
      </c>
      <c r="C35" s="12" t="s">
        <v>69</v>
      </c>
      <c r="D35" s="55">
        <v>43.595028680960155</v>
      </c>
      <c r="E35" s="21">
        <v>21938.386896956119</v>
      </c>
      <c r="F35" s="21">
        <v>602769.80970806943</v>
      </c>
      <c r="G35" s="21">
        <v>458.09160135203427</v>
      </c>
      <c r="H35" s="21">
        <v>875.61485277836573</v>
      </c>
      <c r="I35" s="21">
        <v>-3.1105861723680315</v>
      </c>
      <c r="J35" s="21">
        <v>2935.8717506496096</v>
      </c>
      <c r="K35" s="23">
        <v>1186.7407476858868</v>
      </c>
      <c r="L35" s="23">
        <v>630205.00000000023</v>
      </c>
    </row>
    <row r="36" spans="1:12">
      <c r="A36" s="10">
        <v>31</v>
      </c>
      <c r="B36" s="10" t="s">
        <v>126</v>
      </c>
      <c r="C36" s="12" t="s">
        <v>127</v>
      </c>
      <c r="D36" s="55">
        <v>52.153114160012905</v>
      </c>
      <c r="E36" s="21">
        <v>52510.686101681851</v>
      </c>
      <c r="F36" s="21">
        <v>251631.45786522864</v>
      </c>
      <c r="G36" s="21">
        <v>33654.25960336157</v>
      </c>
      <c r="H36" s="21">
        <v>299450.83299475326</v>
      </c>
      <c r="I36" s="21">
        <v>-5.7369761864793709</v>
      </c>
      <c r="J36" s="21">
        <v>12289.047061457411</v>
      </c>
      <c r="K36" s="23">
        <v>8658.3002355437166</v>
      </c>
      <c r="L36" s="23">
        <v>658241</v>
      </c>
    </row>
    <row r="37" spans="1:12">
      <c r="A37" s="10">
        <v>32</v>
      </c>
      <c r="B37" s="10" t="s">
        <v>128</v>
      </c>
      <c r="C37" s="12" t="s">
        <v>191</v>
      </c>
      <c r="D37" s="55">
        <v>9598.6452779539613</v>
      </c>
      <c r="E37" s="21">
        <v>234522.03081884072</v>
      </c>
      <c r="F37" s="21">
        <v>975167.74964782584</v>
      </c>
      <c r="G37" s="21">
        <v>10.018577091496692</v>
      </c>
      <c r="H37" s="21">
        <v>40.039318109194852</v>
      </c>
      <c r="I37" s="21">
        <v>5.4413571017998402E-3</v>
      </c>
      <c r="J37" s="21">
        <v>36.92456823380342</v>
      </c>
      <c r="K37" s="23">
        <v>6523.5863505878979</v>
      </c>
      <c r="L37" s="23">
        <v>1225899</v>
      </c>
    </row>
    <row r="38" spans="1:12">
      <c r="A38" s="10">
        <v>33</v>
      </c>
      <c r="B38" s="10" t="s">
        <v>130</v>
      </c>
      <c r="C38" s="12" t="s">
        <v>192</v>
      </c>
      <c r="D38" s="55">
        <v>418.85104639051048</v>
      </c>
      <c r="E38" s="21">
        <v>102223.55297022763</v>
      </c>
      <c r="F38" s="21">
        <v>4092.4645302379822</v>
      </c>
      <c r="G38" s="21">
        <v>1311.6718909941399</v>
      </c>
      <c r="H38" s="21">
        <v>3761.3846654452591</v>
      </c>
      <c r="I38" s="21">
        <v>-10.980065663130054</v>
      </c>
      <c r="J38" s="21">
        <v>3444.8318403390736</v>
      </c>
      <c r="K38" s="23">
        <v>10125.223122028501</v>
      </c>
      <c r="L38" s="23">
        <v>125366.99999999997</v>
      </c>
    </row>
    <row r="39" spans="1:12">
      <c r="A39" s="10">
        <v>34</v>
      </c>
      <c r="B39" s="10" t="s">
        <v>131</v>
      </c>
      <c r="C39" s="12" t="s">
        <v>132</v>
      </c>
      <c r="D39" s="55">
        <v>6392.3734375550684</v>
      </c>
      <c r="E39" s="21">
        <v>212870.47023324369</v>
      </c>
      <c r="F39" s="21">
        <v>105848.26203852156</v>
      </c>
      <c r="G39" s="21">
        <v>45991.708412097323</v>
      </c>
      <c r="H39" s="21">
        <v>120959.17871793592</v>
      </c>
      <c r="I39" s="21">
        <v>-270.66409568052802</v>
      </c>
      <c r="J39" s="21">
        <v>97811.382413147498</v>
      </c>
      <c r="K39" s="23">
        <v>279831.28884317941</v>
      </c>
      <c r="L39" s="23">
        <v>869434</v>
      </c>
    </row>
    <row r="40" spans="1:12">
      <c r="A40" s="10">
        <v>35</v>
      </c>
      <c r="B40" s="10" t="s">
        <v>133</v>
      </c>
      <c r="C40" s="12" t="s">
        <v>193</v>
      </c>
      <c r="D40" s="55">
        <v>59249.965238361947</v>
      </c>
      <c r="E40" s="21">
        <v>371087.47610927682</v>
      </c>
      <c r="F40" s="21">
        <v>22861.887811888173</v>
      </c>
      <c r="G40" s="21">
        <v>715.83283653975388</v>
      </c>
      <c r="H40" s="21">
        <v>6423.8957780070814</v>
      </c>
      <c r="I40" s="21">
        <v>-3.802573971703076</v>
      </c>
      <c r="J40" s="21">
        <v>18135.391109370972</v>
      </c>
      <c r="K40" s="23">
        <v>136233.35369052683</v>
      </c>
      <c r="L40" s="23">
        <v>614704</v>
      </c>
    </row>
    <row r="41" spans="1:12">
      <c r="A41" s="10">
        <v>36</v>
      </c>
      <c r="B41" s="10" t="s">
        <v>135</v>
      </c>
      <c r="C41" s="12" t="s">
        <v>194</v>
      </c>
      <c r="D41" s="55">
        <v>227.73130526186878</v>
      </c>
      <c r="E41" s="21">
        <v>5614.8367109646879</v>
      </c>
      <c r="F41" s="21">
        <v>5886.7656607278641</v>
      </c>
      <c r="G41" s="21">
        <v>823.88073373343263</v>
      </c>
      <c r="H41" s="21">
        <v>2833.6653313371226</v>
      </c>
      <c r="I41" s="21">
        <v>-12.222190963147135</v>
      </c>
      <c r="J41" s="21">
        <v>2583.1930650244853</v>
      </c>
      <c r="K41" s="23">
        <v>5289.1493839136847</v>
      </c>
      <c r="L41" s="23">
        <v>23247</v>
      </c>
    </row>
    <row r="42" spans="1:12">
      <c r="A42" s="58">
        <v>37</v>
      </c>
      <c r="B42" s="10" t="s">
        <v>136</v>
      </c>
      <c r="C42" s="12" t="s">
        <v>195</v>
      </c>
      <c r="D42" s="55">
        <v>429.50274325627635</v>
      </c>
      <c r="E42" s="21">
        <v>10929.79474935689</v>
      </c>
      <c r="F42" s="21">
        <v>4461.1281990924945</v>
      </c>
      <c r="G42" s="21">
        <v>4513.1659594317298</v>
      </c>
      <c r="H42" s="21">
        <v>8626.6483285627164</v>
      </c>
      <c r="I42" s="21">
        <v>-30.645817529891929</v>
      </c>
      <c r="J42" s="21">
        <v>28924.512929689437</v>
      </c>
      <c r="K42" s="23">
        <v>11691.892908140348</v>
      </c>
      <c r="L42" s="23">
        <v>69546</v>
      </c>
    </row>
    <row r="43" spans="1:12">
      <c r="A43" s="6"/>
      <c r="B43" s="17"/>
      <c r="C43" s="13" t="s">
        <v>35</v>
      </c>
      <c r="D43" s="56">
        <v>128541.53983435518</v>
      </c>
      <c r="E43" s="24">
        <v>3701542.8568777861</v>
      </c>
      <c r="F43" s="24">
        <v>2261179.3779587299</v>
      </c>
      <c r="G43" s="24">
        <v>653637.05397381517</v>
      </c>
      <c r="H43" s="24">
        <v>1605828.9139091459</v>
      </c>
      <c r="I43" s="24">
        <v>-10715.796825358553</v>
      </c>
      <c r="J43" s="24">
        <v>1662589.256513396</v>
      </c>
      <c r="K43" s="26">
        <v>4868686.7977581294</v>
      </c>
      <c r="L43" s="26">
        <v>14871290</v>
      </c>
    </row>
    <row r="45" spans="1:12">
      <c r="A45" s="1" t="s">
        <v>167</v>
      </c>
    </row>
    <row r="46" spans="1:12">
      <c r="A46" s="2"/>
      <c r="B46" s="4"/>
      <c r="C46" s="4"/>
      <c r="D46" s="11">
        <v>1</v>
      </c>
      <c r="E46" s="17">
        <v>2</v>
      </c>
      <c r="F46" s="17">
        <v>3</v>
      </c>
      <c r="G46" s="17">
        <v>4</v>
      </c>
      <c r="H46" s="17">
        <v>5</v>
      </c>
      <c r="I46" s="17">
        <v>6</v>
      </c>
      <c r="J46" s="17">
        <v>7</v>
      </c>
      <c r="K46" s="17">
        <v>8</v>
      </c>
      <c r="L46" s="20">
        <v>9</v>
      </c>
    </row>
    <row r="47" spans="1:12">
      <c r="A47" s="10"/>
      <c r="B47" s="16"/>
      <c r="C47" s="18"/>
      <c r="D47" s="2" t="s">
        <v>138</v>
      </c>
      <c r="E47" s="4" t="s">
        <v>146</v>
      </c>
      <c r="F47" s="4" t="s">
        <v>147</v>
      </c>
      <c r="G47" s="4" t="s">
        <v>148</v>
      </c>
      <c r="H47" s="4" t="s">
        <v>149</v>
      </c>
      <c r="I47" s="4" t="s">
        <v>150</v>
      </c>
      <c r="J47" s="4" t="s">
        <v>154</v>
      </c>
      <c r="K47" s="3" t="s">
        <v>155</v>
      </c>
      <c r="L47" s="5"/>
    </row>
    <row r="48" spans="1:12" ht="48" customHeight="1">
      <c r="A48" s="6"/>
      <c r="B48" s="15"/>
      <c r="C48" s="69" t="s">
        <v>225</v>
      </c>
      <c r="D48" s="53" t="s">
        <v>6</v>
      </c>
      <c r="E48" s="7" t="s">
        <v>70</v>
      </c>
      <c r="F48" s="7" t="s">
        <v>7</v>
      </c>
      <c r="G48" s="7" t="s">
        <v>8</v>
      </c>
      <c r="H48" s="7" t="s">
        <v>9</v>
      </c>
      <c r="I48" s="7" t="s">
        <v>10</v>
      </c>
      <c r="J48" s="7" t="s">
        <v>12</v>
      </c>
      <c r="K48" s="9" t="s">
        <v>13</v>
      </c>
      <c r="L48" s="8" t="s">
        <v>170</v>
      </c>
    </row>
    <row r="49" spans="1:12">
      <c r="A49" s="10">
        <v>1</v>
      </c>
      <c r="B49" s="10" t="s">
        <v>75</v>
      </c>
      <c r="C49" s="12" t="s">
        <v>179</v>
      </c>
      <c r="D49" s="59">
        <v>9.5254613408341411E-3</v>
      </c>
      <c r="E49" s="30">
        <v>8.7588685756764643E-3</v>
      </c>
      <c r="F49" s="30">
        <v>9.2786824390507538E-4</v>
      </c>
      <c r="G49" s="30">
        <v>6.2191789778981497E-4</v>
      </c>
      <c r="H49" s="30">
        <v>1.3192109310582404E-3</v>
      </c>
      <c r="I49" s="30">
        <v>-3.7794847398762953E-2</v>
      </c>
      <c r="J49" s="36">
        <v>2.5822653530159791E-3</v>
      </c>
      <c r="K49" s="61">
        <v>7.8779123253965536E-2</v>
      </c>
      <c r="L49" s="37">
        <v>2.5056816879924899E-2</v>
      </c>
    </row>
    <row r="50" spans="1:12">
      <c r="A50" s="10">
        <v>2</v>
      </c>
      <c r="B50" s="10" t="s">
        <v>77</v>
      </c>
      <c r="C50" s="12" t="s">
        <v>180</v>
      </c>
      <c r="D50" s="59">
        <v>4.4003054615550078E-5</v>
      </c>
      <c r="E50" s="30">
        <v>1.8732461180610569E-4</v>
      </c>
      <c r="F50" s="30">
        <v>9.3610731230311727E-5</v>
      </c>
      <c r="G50" s="30">
        <v>4.2144827475489152E-4</v>
      </c>
      <c r="H50" s="30">
        <v>2.0573256566839863E-4</v>
      </c>
      <c r="I50" s="30">
        <v>-1.3349835840426321E-3</v>
      </c>
      <c r="J50" s="30">
        <v>4.0647541722027992E-4</v>
      </c>
      <c r="K50" s="32">
        <v>5.0710040445185788E-4</v>
      </c>
      <c r="L50" s="31">
        <v>2.9929196417037503E-4</v>
      </c>
    </row>
    <row r="51" spans="1:12">
      <c r="A51" s="10">
        <v>3</v>
      </c>
      <c r="B51" s="10" t="s">
        <v>79</v>
      </c>
      <c r="C51" s="12" t="s">
        <v>181</v>
      </c>
      <c r="D51" s="59">
        <v>2.7546641880571942E-2</v>
      </c>
      <c r="E51" s="30">
        <v>2.1897980948168184E-2</v>
      </c>
      <c r="F51" s="30">
        <v>1.295876205659722E-3</v>
      </c>
      <c r="G51" s="30">
        <v>1.2394116745952381E-4</v>
      </c>
      <c r="H51" s="30">
        <v>2.9716499838627539E-4</v>
      </c>
      <c r="I51" s="30">
        <v>1.0373631904239898E-2</v>
      </c>
      <c r="J51" s="30">
        <v>7.1904663934378599E-3</v>
      </c>
      <c r="K51" s="32">
        <v>0.14878946125419537</v>
      </c>
      <c r="L51" s="31">
        <v>4.8584187268379514E-2</v>
      </c>
    </row>
    <row r="52" spans="1:12">
      <c r="A52" s="10">
        <v>4</v>
      </c>
      <c r="B52" s="10" t="s">
        <v>81</v>
      </c>
      <c r="C52" s="12" t="s">
        <v>82</v>
      </c>
      <c r="D52" s="59">
        <v>5.9359892129789949E-4</v>
      </c>
      <c r="E52" s="30">
        <v>5.6041452011026569E-4</v>
      </c>
      <c r="F52" s="30">
        <v>1.4735064806420582E-4</v>
      </c>
      <c r="G52" s="30">
        <v>1.2184766387386529E-4</v>
      </c>
      <c r="H52" s="30">
        <v>1.2148747032243783E-4</v>
      </c>
      <c r="I52" s="30">
        <v>1.1805768844218632E-3</v>
      </c>
      <c r="J52" s="30">
        <v>1.1103477366611986E-3</v>
      </c>
      <c r="K52" s="32">
        <v>2.5708478284440141E-3</v>
      </c>
      <c r="L52" s="31">
        <v>1.0259918648485734E-3</v>
      </c>
    </row>
    <row r="53" spans="1:12">
      <c r="A53" s="10">
        <v>5</v>
      </c>
      <c r="B53" s="10" t="s">
        <v>83</v>
      </c>
      <c r="C53" s="12" t="s">
        <v>84</v>
      </c>
      <c r="D53" s="59">
        <v>5.2178036623684119E-3</v>
      </c>
      <c r="E53" s="30">
        <v>2.3058866419233626E-3</v>
      </c>
      <c r="F53" s="30">
        <v>2.3942035273673452E-3</v>
      </c>
      <c r="G53" s="30">
        <v>1.1244584533394421E-2</v>
      </c>
      <c r="H53" s="30">
        <v>6.4900014449907036E-3</v>
      </c>
      <c r="I53" s="30">
        <v>1.5684377959489872E-2</v>
      </c>
      <c r="J53" s="30">
        <v>3.1585120372646142E-3</v>
      </c>
      <c r="K53" s="32">
        <v>2.2318454513693246E-2</v>
      </c>
      <c r="L53" s="31">
        <v>8.821841687674685E-3</v>
      </c>
    </row>
    <row r="54" spans="1:12">
      <c r="A54" s="10">
        <v>6</v>
      </c>
      <c r="B54" s="10" t="s">
        <v>85</v>
      </c>
      <c r="C54" s="12" t="s">
        <v>86</v>
      </c>
      <c r="D54" s="59">
        <v>8.0611625669477942E-4</v>
      </c>
      <c r="E54" s="30">
        <v>4.3718696875627805E-4</v>
      </c>
      <c r="F54" s="30">
        <v>1.6693873971406644E-3</v>
      </c>
      <c r="G54" s="30">
        <v>1.4383199562153479E-4</v>
      </c>
      <c r="H54" s="30">
        <v>1.0871361505527197E-4</v>
      </c>
      <c r="I54" s="30">
        <v>-1.0746485559502952E-3</v>
      </c>
      <c r="J54" s="30">
        <v>1.7959770403266313E-2</v>
      </c>
      <c r="K54" s="32">
        <v>2.671723706327744E-2</v>
      </c>
      <c r="L54" s="31">
        <v>9.44050137469289E-3</v>
      </c>
    </row>
    <row r="55" spans="1:12">
      <c r="A55" s="10">
        <v>7</v>
      </c>
      <c r="B55" s="10" t="s">
        <v>87</v>
      </c>
      <c r="C55" s="12" t="s">
        <v>88</v>
      </c>
      <c r="D55" s="59">
        <v>4.5105793706133395E-4</v>
      </c>
      <c r="E55" s="30">
        <v>1.0577827584089016E-3</v>
      </c>
      <c r="F55" s="30">
        <v>2.8115383674351711E-4</v>
      </c>
      <c r="G55" s="30">
        <v>5.5506626909228448E-4</v>
      </c>
      <c r="H55" s="30">
        <v>3.2672159897559187E-4</v>
      </c>
      <c r="I55" s="30">
        <v>-2.1129089072942416E-4</v>
      </c>
      <c r="J55" s="30">
        <v>2.9276935734753591E-4</v>
      </c>
      <c r="K55" s="32">
        <v>4.1077048594748632E-4</v>
      </c>
      <c r="L55" s="31">
        <v>5.7581248475253302E-4</v>
      </c>
    </row>
    <row r="56" spans="1:12">
      <c r="A56" s="10">
        <v>8</v>
      </c>
      <c r="B56" s="10" t="s">
        <v>89</v>
      </c>
      <c r="C56" s="12" t="s">
        <v>182</v>
      </c>
      <c r="D56" s="59">
        <v>8.3612485121847271E-4</v>
      </c>
      <c r="E56" s="30">
        <v>8.0275876103508921E-4</v>
      </c>
      <c r="F56" s="30">
        <v>4.8781919193689667E-4</v>
      </c>
      <c r="G56" s="30">
        <v>1.4409723606488478E-3</v>
      </c>
      <c r="H56" s="30">
        <v>9.0866597582817967E-4</v>
      </c>
      <c r="I56" s="30">
        <v>3.9184518619072113E-3</v>
      </c>
      <c r="J56" s="30">
        <v>2.5443343226780196E-2</v>
      </c>
      <c r="K56" s="32">
        <v>4.0188792596427894E-2</v>
      </c>
      <c r="L56" s="31">
        <v>1.394867969254719E-2</v>
      </c>
    </row>
    <row r="57" spans="1:12">
      <c r="A57" s="10">
        <v>9</v>
      </c>
      <c r="B57" s="10" t="s">
        <v>91</v>
      </c>
      <c r="C57" s="12" t="s">
        <v>92</v>
      </c>
      <c r="D57" s="59">
        <v>7.4370022703537186E-4</v>
      </c>
      <c r="E57" s="30">
        <v>4.3696080352111522E-4</v>
      </c>
      <c r="F57" s="30">
        <v>4.8471675086140566E-4</v>
      </c>
      <c r="G57" s="30">
        <v>1.3894927198293524E-2</v>
      </c>
      <c r="H57" s="30">
        <v>6.2822597891576534E-3</v>
      </c>
      <c r="I57" s="30">
        <v>4.8827506371258815E-2</v>
      </c>
      <c r="J57" s="30">
        <v>3.0771145289218125E-2</v>
      </c>
      <c r="K57" s="32">
        <v>1.9273319840535555E-2</v>
      </c>
      <c r="L57" s="31">
        <v>9.7372395321057206E-3</v>
      </c>
    </row>
    <row r="58" spans="1:12">
      <c r="A58" s="10">
        <v>10</v>
      </c>
      <c r="B58" s="10" t="s">
        <v>93</v>
      </c>
      <c r="C58" s="12" t="s">
        <v>94</v>
      </c>
      <c r="D58" s="59">
        <v>3.8242023602331323E-5</v>
      </c>
      <c r="E58" s="30">
        <v>2.7551684563887497E-5</v>
      </c>
      <c r="F58" s="30">
        <v>2.2949551948058971E-5</v>
      </c>
      <c r="G58" s="30">
        <v>1.0262985355698089E-3</v>
      </c>
      <c r="H58" s="30">
        <v>5.4215437715765676E-4</v>
      </c>
      <c r="I58" s="30">
        <v>2.6208897332015094E-3</v>
      </c>
      <c r="J58" s="30">
        <v>6.303177344530014E-3</v>
      </c>
      <c r="K58" s="32">
        <v>5.8783214711076864E-3</v>
      </c>
      <c r="L58" s="31">
        <v>2.3380100865435451E-3</v>
      </c>
    </row>
    <row r="59" spans="1:12">
      <c r="A59" s="10">
        <v>11</v>
      </c>
      <c r="B59" s="10" t="s">
        <v>95</v>
      </c>
      <c r="C59" s="12" t="s">
        <v>96</v>
      </c>
      <c r="D59" s="59">
        <v>5.3289843503941666E-5</v>
      </c>
      <c r="E59" s="30">
        <v>7.742227214261307E-5</v>
      </c>
      <c r="F59" s="30">
        <v>6.6524095124730415E-5</v>
      </c>
      <c r="G59" s="30">
        <v>4.7951069644904367E-4</v>
      </c>
      <c r="H59" s="30">
        <v>2.1046748801699443E-4</v>
      </c>
      <c r="I59" s="30">
        <v>2.0465678455067553E-3</v>
      </c>
      <c r="J59" s="30">
        <v>1.4944674740333916E-2</v>
      </c>
      <c r="K59" s="32">
        <v>1.9926570535017139E-2</v>
      </c>
      <c r="L59" s="31">
        <v>6.9711830573649554E-3</v>
      </c>
    </row>
    <row r="60" spans="1:12">
      <c r="A60" s="10">
        <v>12</v>
      </c>
      <c r="B60" s="10" t="s">
        <v>97</v>
      </c>
      <c r="C60" s="12" t="s">
        <v>98</v>
      </c>
      <c r="D60" s="59">
        <v>1.6957659853252575E-3</v>
      </c>
      <c r="E60" s="30">
        <v>8.928552854556124E-4</v>
      </c>
      <c r="F60" s="30">
        <v>5.9952584037503871E-4</v>
      </c>
      <c r="G60" s="30">
        <v>1.7893315500991658E-2</v>
      </c>
      <c r="H60" s="30">
        <v>9.1147666265805009E-3</v>
      </c>
      <c r="I60" s="30">
        <v>2.5420907538431049E-2</v>
      </c>
      <c r="J60" s="30">
        <v>1.4270184184584381E-2</v>
      </c>
      <c r="K60" s="32">
        <v>5.5420768954202969E-2</v>
      </c>
      <c r="L60" s="31">
        <v>1.8855251864580442E-2</v>
      </c>
    </row>
    <row r="61" spans="1:12">
      <c r="A61" s="10">
        <v>13</v>
      </c>
      <c r="B61" s="10" t="s">
        <v>99</v>
      </c>
      <c r="C61" s="12" t="s">
        <v>183</v>
      </c>
      <c r="D61" s="59">
        <v>5.7207713911704184E-5</v>
      </c>
      <c r="E61" s="30">
        <v>8.0869955734371338E-5</v>
      </c>
      <c r="F61" s="30">
        <v>6.9865571547598457E-5</v>
      </c>
      <c r="G61" s="30">
        <v>1.7567983949717879E-3</v>
      </c>
      <c r="H61" s="30">
        <v>5.2585635182052278E-3</v>
      </c>
      <c r="I61" s="30">
        <v>1.3075376156855259E-2</v>
      </c>
      <c r="J61" s="30">
        <v>5.4699932009217488E-2</v>
      </c>
      <c r="K61" s="32">
        <v>5.3679129124714106E-2</v>
      </c>
      <c r="L61" s="31">
        <v>2.0761810487250013E-2</v>
      </c>
    </row>
    <row r="62" spans="1:12">
      <c r="A62" s="10">
        <v>14</v>
      </c>
      <c r="B62" s="10" t="s">
        <v>100</v>
      </c>
      <c r="C62" s="12" t="s">
        <v>184</v>
      </c>
      <c r="D62" s="59">
        <v>1.0866581083537203E-4</v>
      </c>
      <c r="E62" s="30">
        <v>1.2563710622548417E-4</v>
      </c>
      <c r="F62" s="30">
        <v>1.3006986717949723E-4</v>
      </c>
      <c r="G62" s="30">
        <v>5.6613001554125825E-4</v>
      </c>
      <c r="H62" s="30">
        <v>1.7409443083383949E-2</v>
      </c>
      <c r="I62" s="30">
        <v>3.4436150384186931E-2</v>
      </c>
      <c r="J62" s="30">
        <v>0.20755119375563222</v>
      </c>
      <c r="K62" s="32">
        <v>7.3909065891180084E-2</v>
      </c>
      <c r="L62" s="31">
        <v>4.2606364100627674E-2</v>
      </c>
    </row>
    <row r="63" spans="1:12">
      <c r="A63" s="10">
        <v>15</v>
      </c>
      <c r="B63" s="10" t="s">
        <v>101</v>
      </c>
      <c r="C63" s="12" t="s">
        <v>185</v>
      </c>
      <c r="D63" s="59">
        <v>4.6261980292281943E-4</v>
      </c>
      <c r="E63" s="30">
        <v>3.4996383938077876E-4</v>
      </c>
      <c r="F63" s="30">
        <v>1.8290362933880548E-3</v>
      </c>
      <c r="G63" s="30">
        <v>4.5024320018904797E-3</v>
      </c>
      <c r="H63" s="30">
        <v>7.6020036668739271E-3</v>
      </c>
      <c r="I63" s="30">
        <v>1.8914625469766876E-2</v>
      </c>
      <c r="J63" s="30">
        <v>3.8655734795175534E-2</v>
      </c>
      <c r="K63" s="32">
        <v>3.4464861793142662E-2</v>
      </c>
      <c r="L63" s="31">
        <v>1.4704322736477723E-2</v>
      </c>
    </row>
    <row r="64" spans="1:12">
      <c r="A64" s="10">
        <v>16</v>
      </c>
      <c r="B64" s="10" t="s">
        <v>102</v>
      </c>
      <c r="C64" s="12" t="s">
        <v>186</v>
      </c>
      <c r="D64" s="59">
        <v>6.64654914219445E-5</v>
      </c>
      <c r="E64" s="30">
        <v>1.029507733780474E-4</v>
      </c>
      <c r="F64" s="30">
        <v>9.0542001899135622E-5</v>
      </c>
      <c r="G64" s="30">
        <v>2.1076793576703037E-4</v>
      </c>
      <c r="H64" s="30">
        <v>2.3706737314987928E-4</v>
      </c>
      <c r="I64" s="30">
        <v>-1.657198071550523E-3</v>
      </c>
      <c r="J64" s="30">
        <v>0.33168057403211887</v>
      </c>
      <c r="K64" s="32">
        <v>4.5892048771032416E-2</v>
      </c>
      <c r="L64" s="31">
        <v>4.4584003678049246E-2</v>
      </c>
    </row>
    <row r="65" spans="1:12">
      <c r="A65" s="10">
        <v>17</v>
      </c>
      <c r="B65" s="10" t="s">
        <v>104</v>
      </c>
      <c r="C65" s="12" t="s">
        <v>105</v>
      </c>
      <c r="D65" s="59">
        <v>4.5835619782179761E-4</v>
      </c>
      <c r="E65" s="30">
        <v>1.111799533012591E-3</v>
      </c>
      <c r="F65" s="30">
        <v>5.711879490215509E-5</v>
      </c>
      <c r="G65" s="30">
        <v>1.2684658867938392E-3</v>
      </c>
      <c r="H65" s="30">
        <v>2.4550644977736073E-3</v>
      </c>
      <c r="I65" s="30">
        <v>3.4983572862895837E-3</v>
      </c>
      <c r="J65" s="30">
        <v>4.4386681517873512E-2</v>
      </c>
      <c r="K65" s="32">
        <v>5.1081211040161216E-2</v>
      </c>
      <c r="L65" s="31">
        <v>1.8996065931629062E-2</v>
      </c>
    </row>
    <row r="66" spans="1:12">
      <c r="A66" s="10">
        <v>18</v>
      </c>
      <c r="B66" s="10" t="s">
        <v>106</v>
      </c>
      <c r="C66" s="12" t="s">
        <v>187</v>
      </c>
      <c r="D66" s="59">
        <v>3.7552729316374074E-4</v>
      </c>
      <c r="E66" s="30">
        <v>1.7579199935940206E-3</v>
      </c>
      <c r="F66" s="30">
        <v>4.4158149199553313E-5</v>
      </c>
      <c r="G66" s="30">
        <v>4.655188428325038E-3</v>
      </c>
      <c r="H66" s="30">
        <v>3.8879651760829509E-3</v>
      </c>
      <c r="I66" s="30">
        <v>1.8746193264251709E-2</v>
      </c>
      <c r="J66" s="30">
        <v>4.8798826512693336E-2</v>
      </c>
      <c r="K66" s="32">
        <v>9.2851966012836615E-2</v>
      </c>
      <c r="L66" s="31">
        <v>3.1343792543494349E-2</v>
      </c>
    </row>
    <row r="67" spans="1:12">
      <c r="A67" s="10">
        <v>19</v>
      </c>
      <c r="B67" s="10" t="s">
        <v>108</v>
      </c>
      <c r="C67" s="12" t="s">
        <v>109</v>
      </c>
      <c r="D67" s="59">
        <v>1.4140310527908736E-4</v>
      </c>
      <c r="E67" s="30">
        <v>1.6069607175685492E-3</v>
      </c>
      <c r="F67" s="30">
        <v>2.6747173796388502E-4</v>
      </c>
      <c r="G67" s="30">
        <v>2.073168423381639E-3</v>
      </c>
      <c r="H67" s="30">
        <v>3.1890756459656481E-3</v>
      </c>
      <c r="I67" s="30">
        <v>2.5687326486562474E-3</v>
      </c>
      <c r="J67" s="30">
        <v>4.5920395615129256E-2</v>
      </c>
      <c r="K67" s="32">
        <v>7.1270399975561421E-2</v>
      </c>
      <c r="L67" s="31">
        <v>2.4988502549160255E-2</v>
      </c>
    </row>
    <row r="68" spans="1:12">
      <c r="A68" s="10">
        <v>20</v>
      </c>
      <c r="B68" s="10" t="s">
        <v>110</v>
      </c>
      <c r="C68" s="12" t="s">
        <v>66</v>
      </c>
      <c r="D68" s="59">
        <v>1.1362469604359165E-2</v>
      </c>
      <c r="E68" s="30">
        <v>6.1980923839409048E-3</v>
      </c>
      <c r="F68" s="30">
        <v>3.3699929542519991E-3</v>
      </c>
      <c r="G68" s="30">
        <v>3.6621179558591474E-3</v>
      </c>
      <c r="H68" s="30">
        <v>6.341227147493033E-3</v>
      </c>
      <c r="I68" s="30">
        <v>7.8866061097499399E-2</v>
      </c>
      <c r="J68" s="30">
        <v>2.3680452354216452E-2</v>
      </c>
      <c r="K68" s="32">
        <v>2.4417690618533969E-2</v>
      </c>
      <c r="L68" s="31">
        <v>1.2199676759003568E-2</v>
      </c>
    </row>
    <row r="69" spans="1:12">
      <c r="A69" s="10">
        <v>21</v>
      </c>
      <c r="B69" s="10" t="s">
        <v>111</v>
      </c>
      <c r="C69" s="12" t="s">
        <v>112</v>
      </c>
      <c r="D69" s="59">
        <v>4.2551867614978112E-3</v>
      </c>
      <c r="E69" s="30">
        <v>7.121670453435652E-3</v>
      </c>
      <c r="F69" s="30">
        <v>6.7124099655294835E-3</v>
      </c>
      <c r="G69" s="30">
        <v>0.73935984912912112</v>
      </c>
      <c r="H69" s="30">
        <v>0.32030645495374321</v>
      </c>
      <c r="I69" s="30">
        <v>7.1633369419160382E-4</v>
      </c>
      <c r="J69" s="30">
        <v>5.1685303898136572E-3</v>
      </c>
      <c r="K69" s="32">
        <v>4.9987127754788172E-3</v>
      </c>
      <c r="L69" s="31">
        <v>8.0607718043843563E-2</v>
      </c>
    </row>
    <row r="70" spans="1:12">
      <c r="A70" s="10">
        <v>22</v>
      </c>
      <c r="B70" s="10" t="s">
        <v>113</v>
      </c>
      <c r="C70" s="12" t="s">
        <v>188</v>
      </c>
      <c r="D70" s="59">
        <v>1.5182554400083698E-2</v>
      </c>
      <c r="E70" s="30">
        <v>2.2310475617543055E-2</v>
      </c>
      <c r="F70" s="30">
        <v>1.0599562543299025E-2</v>
      </c>
      <c r="G70" s="30">
        <v>5.0923348324291434E-3</v>
      </c>
      <c r="H70" s="30">
        <v>5.5030249119026944E-3</v>
      </c>
      <c r="I70" s="30">
        <v>3.6167638612313439E-3</v>
      </c>
      <c r="J70" s="30">
        <v>1.6500571196666217E-2</v>
      </c>
      <c r="K70" s="32">
        <v>3.3018050577261503E-2</v>
      </c>
      <c r="L70" s="31">
        <v>2.0007373407621671E-2</v>
      </c>
    </row>
    <row r="71" spans="1:12">
      <c r="A71" s="10">
        <v>23</v>
      </c>
      <c r="B71" s="10" t="s">
        <v>115</v>
      </c>
      <c r="C71" s="12" t="s">
        <v>0</v>
      </c>
      <c r="D71" s="59">
        <v>6.1926000782440037E-3</v>
      </c>
      <c r="E71" s="30">
        <v>1.5451722164497701E-2</v>
      </c>
      <c r="F71" s="30">
        <v>5.328662069703778E-3</v>
      </c>
      <c r="G71" s="30">
        <v>1.9751732249068022E-3</v>
      </c>
      <c r="H71" s="30">
        <v>2.4751534080275348E-3</v>
      </c>
      <c r="I71" s="30">
        <v>4.9272805604648663E-5</v>
      </c>
      <c r="J71" s="30">
        <v>2.0646072516327233E-3</v>
      </c>
      <c r="K71" s="32">
        <v>2.1302180744680677E-3</v>
      </c>
      <c r="L71" s="31">
        <v>6.7140289046942704E-3</v>
      </c>
    </row>
    <row r="72" spans="1:12">
      <c r="A72" s="10">
        <v>24</v>
      </c>
      <c r="B72" s="10" t="s">
        <v>116</v>
      </c>
      <c r="C72" s="12" t="s">
        <v>1</v>
      </c>
      <c r="D72" s="59">
        <v>1.1496592812787112E-2</v>
      </c>
      <c r="E72" s="30">
        <v>5.6081343197604749E-3</v>
      </c>
      <c r="F72" s="30">
        <v>2.1141427504815451E-2</v>
      </c>
      <c r="G72" s="30">
        <v>3.3913015737932779E-3</v>
      </c>
      <c r="H72" s="30">
        <v>3.0578210120956869E-3</v>
      </c>
      <c r="I72" s="30">
        <v>1.9450763622043898E-4</v>
      </c>
      <c r="J72" s="30">
        <v>2.1549607475390854E-3</v>
      </c>
      <c r="K72" s="32">
        <v>5.7108319776323132E-3</v>
      </c>
      <c r="L72" s="31">
        <v>7.062339770794423E-3</v>
      </c>
    </row>
    <row r="73" spans="1:12">
      <c r="A73" s="10">
        <v>25</v>
      </c>
      <c r="B73" s="10" t="s">
        <v>117</v>
      </c>
      <c r="C73" s="12" t="s">
        <v>67</v>
      </c>
      <c r="D73" s="59">
        <v>0.13837481971967819</v>
      </c>
      <c r="E73" s="30">
        <v>0.10546069463789146</v>
      </c>
      <c r="F73" s="30">
        <v>2.0549026485215772E-2</v>
      </c>
      <c r="G73" s="30">
        <v>4.12057600254047E-2</v>
      </c>
      <c r="H73" s="30">
        <v>6.3900730716274751E-2</v>
      </c>
      <c r="I73" s="30">
        <v>-2.9746495372075701E-2</v>
      </c>
      <c r="J73" s="30">
        <v>5.7720777875766557E-2</v>
      </c>
      <c r="K73" s="32">
        <v>0.1081928899554204</v>
      </c>
      <c r="L73" s="31">
        <v>8.2291527965992928E-2</v>
      </c>
    </row>
    <row r="74" spans="1:12">
      <c r="A74" s="10">
        <v>26</v>
      </c>
      <c r="B74" s="10" t="s">
        <v>118</v>
      </c>
      <c r="C74" s="12" t="s">
        <v>68</v>
      </c>
      <c r="D74" s="59">
        <v>1.4418856950250233E-2</v>
      </c>
      <c r="E74" s="30">
        <v>7.4992702138277634E-2</v>
      </c>
      <c r="F74" s="30">
        <v>1.3700602552072229E-2</v>
      </c>
      <c r="G74" s="30">
        <v>1.3331329686420267E-2</v>
      </c>
      <c r="H74" s="30">
        <v>1.0636069864282463E-2</v>
      </c>
      <c r="I74" s="30">
        <v>2.5808233074892648E-3</v>
      </c>
      <c r="J74" s="30">
        <v>3.36704479891341E-2</v>
      </c>
      <c r="K74" s="32">
        <v>1.6791192296386506E-2</v>
      </c>
      <c r="L74" s="31">
        <v>3.4761282558641964E-2</v>
      </c>
    </row>
    <row r="75" spans="1:12">
      <c r="A75" s="10">
        <v>27</v>
      </c>
      <c r="B75" s="10" t="s">
        <v>119</v>
      </c>
      <c r="C75" s="12" t="s">
        <v>120</v>
      </c>
      <c r="D75" s="59">
        <v>2.424096783901945E-2</v>
      </c>
      <c r="E75" s="30">
        <v>0.26044754325013719</v>
      </c>
      <c r="F75" s="30">
        <v>1.4277520277572271E-2</v>
      </c>
      <c r="G75" s="30">
        <v>9.4732719083449966E-3</v>
      </c>
      <c r="H75" s="30">
        <v>2.2611420905102857E-2</v>
      </c>
      <c r="I75" s="30">
        <v>5.3573052572092963E-5</v>
      </c>
      <c r="J75" s="30">
        <v>8.8681606395875807E-3</v>
      </c>
      <c r="K75" s="32">
        <v>1.2003999686702424E-2</v>
      </c>
      <c r="L75" s="31">
        <v>8.9306693250849181E-2</v>
      </c>
    </row>
    <row r="76" spans="1:12">
      <c r="A76" s="10">
        <v>28</v>
      </c>
      <c r="B76" s="10" t="s">
        <v>121</v>
      </c>
      <c r="C76" s="12" t="s">
        <v>189</v>
      </c>
      <c r="D76" s="59">
        <v>6.7283161484218354E-2</v>
      </c>
      <c r="E76" s="30">
        <v>4.2926464468185377E-2</v>
      </c>
      <c r="F76" s="30">
        <v>2.8085782471564982E-2</v>
      </c>
      <c r="G76" s="30">
        <v>4.4099578741365927E-2</v>
      </c>
      <c r="H76" s="30">
        <v>3.3112333529400247E-2</v>
      </c>
      <c r="I76" s="30">
        <v>-7.7666586454318851E-3</v>
      </c>
      <c r="J76" s="30">
        <v>4.0795784600023657E-2</v>
      </c>
      <c r="K76" s="32">
        <v>5.9465970864267782E-2</v>
      </c>
      <c r="L76" s="31">
        <v>4.4318975287876095E-2</v>
      </c>
    </row>
    <row r="77" spans="1:12">
      <c r="A77" s="10">
        <v>29</v>
      </c>
      <c r="B77" s="10" t="s">
        <v>123</v>
      </c>
      <c r="C77" s="12" t="s">
        <v>190</v>
      </c>
      <c r="D77" s="59">
        <v>2.348366608954917E-2</v>
      </c>
      <c r="E77" s="30">
        <v>4.2685822504993309E-2</v>
      </c>
      <c r="F77" s="30">
        <v>1.4605294426931597E-2</v>
      </c>
      <c r="G77" s="30">
        <v>3.4118506398939964E-2</v>
      </c>
      <c r="H77" s="30">
        <v>5.8053545509420094E-2</v>
      </c>
      <c r="I77" s="30">
        <v>6.9550644826988813E-3</v>
      </c>
      <c r="J77" s="30">
        <v>1.6171293252931485E-2</v>
      </c>
      <c r="K77" s="32">
        <v>3.1456812995985337E-2</v>
      </c>
      <c r="L77" s="31">
        <v>3.4921533932678675E-2</v>
      </c>
    </row>
    <row r="78" spans="1:12">
      <c r="A78" s="10">
        <v>30</v>
      </c>
      <c r="B78" s="10" t="s">
        <v>125</v>
      </c>
      <c r="C78" s="12" t="s">
        <v>69</v>
      </c>
      <c r="D78" s="59">
        <v>3.0567690390385612E-4</v>
      </c>
      <c r="E78" s="30">
        <v>5.1038827949177312E-3</v>
      </c>
      <c r="F78" s="30">
        <v>0.31204110871671037</v>
      </c>
      <c r="G78" s="30">
        <v>7.7571383805391362E-4</v>
      </c>
      <c r="H78" s="30">
        <v>4.4574049280996826E-4</v>
      </c>
      <c r="I78" s="30">
        <v>6.4365389375877486E-5</v>
      </c>
      <c r="J78" s="30">
        <v>2.1638444931581713E-3</v>
      </c>
      <c r="K78" s="32">
        <v>3.0740533310276441E-4</v>
      </c>
      <c r="L78" s="31">
        <v>4.4706160767952412E-2</v>
      </c>
    </row>
    <row r="79" spans="1:12">
      <c r="A79" s="10">
        <v>31</v>
      </c>
      <c r="B79" s="10" t="s">
        <v>126</v>
      </c>
      <c r="C79" s="12" t="s">
        <v>127</v>
      </c>
      <c r="D79" s="59">
        <v>3.6568395405918539E-4</v>
      </c>
      <c r="E79" s="30">
        <v>1.2216412656159553E-2</v>
      </c>
      <c r="F79" s="30">
        <v>0.13026425317866575</v>
      </c>
      <c r="G79" s="30">
        <v>5.6988765580367813E-2</v>
      </c>
      <c r="H79" s="30">
        <v>0.15243843962663162</v>
      </c>
      <c r="I79" s="30">
        <v>1.1871161434559089E-4</v>
      </c>
      <c r="J79" s="30">
        <v>9.0574756217509864E-3</v>
      </c>
      <c r="K79" s="32">
        <v>2.242787797757113E-3</v>
      </c>
      <c r="L79" s="31">
        <v>4.6695008719476599E-2</v>
      </c>
    </row>
    <row r="80" spans="1:12">
      <c r="A80" s="10">
        <v>32</v>
      </c>
      <c r="B80" s="10" t="s">
        <v>128</v>
      </c>
      <c r="C80" s="12" t="s">
        <v>191</v>
      </c>
      <c r="D80" s="59">
        <v>6.7303182473137768E-2</v>
      </c>
      <c r="E80" s="30">
        <v>5.4560664088366649E-2</v>
      </c>
      <c r="F80" s="30">
        <v>0.50482360079092292</v>
      </c>
      <c r="G80" s="30">
        <v>1.6965054291645118E-5</v>
      </c>
      <c r="H80" s="30">
        <v>2.0382415087110272E-5</v>
      </c>
      <c r="I80" s="30">
        <v>-1.1259455587559418E-7</v>
      </c>
      <c r="J80" s="30">
        <v>2.7214752693907599E-5</v>
      </c>
      <c r="K80" s="32">
        <v>1.6898258857611221E-3</v>
      </c>
      <c r="L80" s="31">
        <v>8.696414306340329E-2</v>
      </c>
    </row>
    <row r="81" spans="1:12">
      <c r="A81" s="10">
        <v>33</v>
      </c>
      <c r="B81" s="10" t="s">
        <v>130</v>
      </c>
      <c r="C81" s="12" t="s">
        <v>192</v>
      </c>
      <c r="D81" s="59">
        <v>2.9368736512257253E-3</v>
      </c>
      <c r="E81" s="30">
        <v>2.3781923242154848E-2</v>
      </c>
      <c r="F81" s="30">
        <v>2.1185818347766124E-3</v>
      </c>
      <c r="G81" s="30">
        <v>2.2211322666197152E-3</v>
      </c>
      <c r="H81" s="30">
        <v>1.9147704599841984E-3</v>
      </c>
      <c r="I81" s="30">
        <v>2.2720354383946973E-4</v>
      </c>
      <c r="J81" s="30">
        <v>2.5389666309246295E-3</v>
      </c>
      <c r="K81" s="32">
        <v>2.6227696256628666E-3</v>
      </c>
      <c r="L81" s="31">
        <v>8.8934192159628792E-3</v>
      </c>
    </row>
    <row r="82" spans="1:12">
      <c r="A82" s="10">
        <v>34</v>
      </c>
      <c r="B82" s="10" t="s">
        <v>131</v>
      </c>
      <c r="C82" s="12" t="s">
        <v>132</v>
      </c>
      <c r="D82" s="59">
        <v>4.4821645497448208E-2</v>
      </c>
      <c r="E82" s="30">
        <v>4.9523510350719689E-2</v>
      </c>
      <c r="F82" s="30">
        <v>5.4795393714614879E-2</v>
      </c>
      <c r="G82" s="30">
        <v>7.7880503693382216E-2</v>
      </c>
      <c r="H82" s="30">
        <v>6.1575478945500507E-2</v>
      </c>
      <c r="I82" s="30">
        <v>5.6006806894805805E-3</v>
      </c>
      <c r="J82" s="30">
        <v>7.2090554076841576E-2</v>
      </c>
      <c r="K82" s="32">
        <v>7.2485612992688894E-2</v>
      </c>
      <c r="L82" s="31">
        <v>6.167684512360886E-2</v>
      </c>
    </row>
    <row r="83" spans="1:12">
      <c r="A83" s="10">
        <v>35</v>
      </c>
      <c r="B83" s="10" t="s">
        <v>133</v>
      </c>
      <c r="C83" s="12" t="s">
        <v>193</v>
      </c>
      <c r="D83" s="59">
        <v>0.41544521195334355</v>
      </c>
      <c r="E83" s="30">
        <v>8.6332098782812852E-2</v>
      </c>
      <c r="F83" s="30">
        <v>1.1835113015420704E-2</v>
      </c>
      <c r="G83" s="30">
        <v>1.2121624482928461E-3</v>
      </c>
      <c r="H83" s="30">
        <v>3.2701483543399051E-3</v>
      </c>
      <c r="I83" s="30">
        <v>7.8684254592734407E-5</v>
      </c>
      <c r="J83" s="30">
        <v>1.3366444285108527E-2</v>
      </c>
      <c r="K83" s="32">
        <v>3.5288970697775222E-2</v>
      </c>
      <c r="L83" s="31">
        <v>4.3606534141594253E-2</v>
      </c>
    </row>
    <row r="84" spans="1:12">
      <c r="A84" s="10">
        <v>36</v>
      </c>
      <c r="B84" s="10" t="s">
        <v>135</v>
      </c>
      <c r="C84" s="12" t="s">
        <v>194</v>
      </c>
      <c r="D84" s="59">
        <v>1.5967921669205064E-3</v>
      </c>
      <c r="E84" s="30">
        <v>1.3062705393960057E-3</v>
      </c>
      <c r="F84" s="30">
        <v>3.0474533627001419E-3</v>
      </c>
      <c r="G84" s="30">
        <v>1.3951263986870242E-3</v>
      </c>
      <c r="H84" s="30">
        <v>1.4425056601551729E-3</v>
      </c>
      <c r="I84" s="30">
        <v>2.5290605589312672E-4</v>
      </c>
      <c r="J84" s="30">
        <v>1.9039074466658205E-3</v>
      </c>
      <c r="K84" s="32">
        <v>1.3700656452243292E-3</v>
      </c>
      <c r="L84" s="31">
        <v>1.6491207136925116E-3</v>
      </c>
    </row>
    <row r="85" spans="1:12">
      <c r="A85" s="58">
        <v>37</v>
      </c>
      <c r="B85" s="10" t="s">
        <v>136</v>
      </c>
      <c r="C85" s="12" t="s">
        <v>195</v>
      </c>
      <c r="D85" s="59">
        <v>3.0115605551632777E-3</v>
      </c>
      <c r="E85" s="30">
        <v>2.5427754390166535E-3</v>
      </c>
      <c r="F85" s="30">
        <v>2.3094311741432387E-3</v>
      </c>
      <c r="G85" s="30">
        <v>7.6424131720211766E-3</v>
      </c>
      <c r="H85" s="30">
        <v>4.3914815572973576E-3</v>
      </c>
      <c r="I85" s="30">
        <v>6.3413449065516023E-4</v>
      </c>
      <c r="J85" s="30">
        <v>2.1318420331658618E-2</v>
      </c>
      <c r="K85" s="32">
        <v>3.0285892188645505E-3</v>
      </c>
      <c r="L85" s="31">
        <v>4.933529021140767E-3</v>
      </c>
    </row>
    <row r="86" spans="1:12">
      <c r="A86" s="6"/>
      <c r="B86" s="17"/>
      <c r="C86" s="13" t="s">
        <v>35</v>
      </c>
      <c r="D86" s="60">
        <v>0.90129955429437503</v>
      </c>
      <c r="E86" s="33">
        <v>0.86114995558266849</v>
      </c>
      <c r="F86" s="33">
        <v>1.170564465475348</v>
      </c>
      <c r="G86" s="33">
        <v>1.106842619108912</v>
      </c>
      <c r="H86" s="33">
        <v>0.81746325931218145</v>
      </c>
      <c r="I86" s="33">
        <v>0.22173519617105455</v>
      </c>
      <c r="J86" s="33">
        <v>1.2253888836576141</v>
      </c>
      <c r="K86" s="35">
        <v>1.2611518478288686</v>
      </c>
      <c r="L86" s="34">
        <v>1.0549555804331014</v>
      </c>
    </row>
    <row r="88" spans="1:12">
      <c r="A88" s="1" t="s">
        <v>168</v>
      </c>
    </row>
    <row r="89" spans="1:12">
      <c r="A89" s="2"/>
      <c r="B89" s="4"/>
      <c r="C89" s="4"/>
      <c r="D89" s="11">
        <v>1</v>
      </c>
      <c r="E89" s="17">
        <v>2</v>
      </c>
      <c r="F89" s="17">
        <v>3</v>
      </c>
      <c r="G89" s="17">
        <v>4</v>
      </c>
      <c r="H89" s="17">
        <v>5</v>
      </c>
      <c r="I89" s="17">
        <v>6</v>
      </c>
      <c r="J89" s="17">
        <v>7</v>
      </c>
      <c r="K89" s="17">
        <v>8</v>
      </c>
      <c r="L89" s="20">
        <v>9</v>
      </c>
    </row>
    <row r="90" spans="1:12">
      <c r="A90" s="10"/>
      <c r="B90" s="16"/>
      <c r="C90" s="18"/>
      <c r="D90" s="2" t="s">
        <v>138</v>
      </c>
      <c r="E90" s="4" t="s">
        <v>146</v>
      </c>
      <c r="F90" s="4" t="s">
        <v>147</v>
      </c>
      <c r="G90" s="4" t="s">
        <v>148</v>
      </c>
      <c r="H90" s="4" t="s">
        <v>149</v>
      </c>
      <c r="I90" s="4" t="s">
        <v>150</v>
      </c>
      <c r="J90" s="4" t="s">
        <v>154</v>
      </c>
      <c r="K90" s="3" t="s">
        <v>155</v>
      </c>
      <c r="L90" s="5"/>
    </row>
    <row r="91" spans="1:12" ht="48" customHeight="1">
      <c r="A91" s="6"/>
      <c r="B91" s="15"/>
      <c r="C91" s="69" t="s">
        <v>225</v>
      </c>
      <c r="D91" s="53" t="s">
        <v>6</v>
      </c>
      <c r="E91" s="7" t="s">
        <v>70</v>
      </c>
      <c r="F91" s="7" t="s">
        <v>7</v>
      </c>
      <c r="G91" s="7" t="s">
        <v>8</v>
      </c>
      <c r="H91" s="7" t="s">
        <v>9</v>
      </c>
      <c r="I91" s="7" t="s">
        <v>10</v>
      </c>
      <c r="J91" s="7" t="s">
        <v>12</v>
      </c>
      <c r="K91" s="9" t="s">
        <v>13</v>
      </c>
      <c r="L91" s="8" t="s">
        <v>169</v>
      </c>
    </row>
    <row r="92" spans="1:12">
      <c r="A92" s="10">
        <v>1</v>
      </c>
      <c r="B92" s="10" t="s">
        <v>75</v>
      </c>
      <c r="C92" s="12" t="s">
        <v>179</v>
      </c>
      <c r="D92" s="59">
        <v>3.8460948697315056E-3</v>
      </c>
      <c r="E92" s="30">
        <v>0.10658881658069735</v>
      </c>
      <c r="F92" s="30">
        <v>5.0744108045825617E-3</v>
      </c>
      <c r="G92" s="30">
        <v>1.0397848319345468E-3</v>
      </c>
      <c r="H92" s="30">
        <v>7.3367699906727408E-3</v>
      </c>
      <c r="I92" s="30">
        <v>5.1710896172314311E-3</v>
      </c>
      <c r="J92" s="36">
        <v>9.9190832153463748E-3</v>
      </c>
      <c r="K92" s="61">
        <v>0.86102395008980337</v>
      </c>
      <c r="L92" s="32">
        <v>1</v>
      </c>
    </row>
    <row r="93" spans="1:12">
      <c r="A93" s="10">
        <v>2</v>
      </c>
      <c r="B93" s="10" t="s">
        <v>77</v>
      </c>
      <c r="C93" s="12" t="s">
        <v>180</v>
      </c>
      <c r="D93" s="59">
        <v>1.4874680358285186E-3</v>
      </c>
      <c r="E93" s="30">
        <v>0.19084874764120266</v>
      </c>
      <c r="F93" s="30">
        <v>4.2860357790375239E-2</v>
      </c>
      <c r="G93" s="30">
        <v>5.8990971099858514E-2</v>
      </c>
      <c r="H93" s="30">
        <v>9.579096484044336E-2</v>
      </c>
      <c r="I93" s="30">
        <v>1.5291716441343509E-2</v>
      </c>
      <c r="J93" s="30">
        <v>0.13071812015956799</v>
      </c>
      <c r="K93" s="32">
        <v>0.46401165399138011</v>
      </c>
      <c r="L93" s="32">
        <v>1</v>
      </c>
    </row>
    <row r="94" spans="1:12">
      <c r="A94" s="10">
        <v>3</v>
      </c>
      <c r="B94" s="10" t="s">
        <v>79</v>
      </c>
      <c r="C94" s="12" t="s">
        <v>181</v>
      </c>
      <c r="D94" s="59">
        <v>5.7363229504541089E-3</v>
      </c>
      <c r="E94" s="30">
        <v>0.13743541590857783</v>
      </c>
      <c r="F94" s="30">
        <v>3.6550538881322103E-3</v>
      </c>
      <c r="G94" s="30">
        <v>1.0687028366451257E-4</v>
      </c>
      <c r="H94" s="30">
        <v>8.5235256902748389E-4</v>
      </c>
      <c r="I94" s="30">
        <v>-7.3200029937886373E-4</v>
      </c>
      <c r="J94" s="30">
        <v>1.4244876335462073E-2</v>
      </c>
      <c r="K94" s="32">
        <v>0.83870110836406064</v>
      </c>
      <c r="L94" s="32">
        <v>1</v>
      </c>
    </row>
    <row r="95" spans="1:12">
      <c r="A95" s="10">
        <v>4</v>
      </c>
      <c r="B95" s="10" t="s">
        <v>81</v>
      </c>
      <c r="C95" s="12" t="s">
        <v>82</v>
      </c>
      <c r="D95" s="59">
        <v>5.8534115299497926E-3</v>
      </c>
      <c r="E95" s="30">
        <v>0.1665539709351728</v>
      </c>
      <c r="F95" s="30">
        <v>1.9680373841224261E-2</v>
      </c>
      <c r="G95" s="30">
        <v>4.9751893189103362E-3</v>
      </c>
      <c r="H95" s="30">
        <v>1.650076707036912E-2</v>
      </c>
      <c r="I95" s="30">
        <v>-3.9448066855739062E-3</v>
      </c>
      <c r="J95" s="30">
        <v>0.10416256336070422</v>
      </c>
      <c r="K95" s="32">
        <v>0.68621853062924343</v>
      </c>
      <c r="L95" s="32">
        <v>1</v>
      </c>
    </row>
    <row r="96" spans="1:12">
      <c r="A96" s="10">
        <v>5</v>
      </c>
      <c r="B96" s="10" t="s">
        <v>83</v>
      </c>
      <c r="C96" s="12" t="s">
        <v>84</v>
      </c>
      <c r="D96" s="59">
        <v>5.9839553765713349E-3</v>
      </c>
      <c r="E96" s="30">
        <v>7.970181714740833E-2</v>
      </c>
      <c r="F96" s="30">
        <v>3.7190071839491627E-2</v>
      </c>
      <c r="G96" s="30">
        <v>5.3397444792613311E-2</v>
      </c>
      <c r="H96" s="30">
        <v>0.10251846514536227</v>
      </c>
      <c r="I96" s="30">
        <v>-6.0951360881347947E-3</v>
      </c>
      <c r="J96" s="30">
        <v>3.4460362457421866E-2</v>
      </c>
      <c r="K96" s="32">
        <v>0.69284301932926606</v>
      </c>
      <c r="L96" s="32">
        <v>1</v>
      </c>
    </row>
    <row r="97" spans="1:12">
      <c r="A97" s="10">
        <v>6</v>
      </c>
      <c r="B97" s="10" t="s">
        <v>85</v>
      </c>
      <c r="C97" s="12" t="s">
        <v>86</v>
      </c>
      <c r="D97" s="59">
        <v>8.6389804775581513E-4</v>
      </c>
      <c r="E97" s="30">
        <v>1.4120877262880405E-2</v>
      </c>
      <c r="F97" s="30">
        <v>2.4231889592322031E-2</v>
      </c>
      <c r="G97" s="30">
        <v>6.3825873622684614E-4</v>
      </c>
      <c r="H97" s="30">
        <v>1.6047428142881423E-3</v>
      </c>
      <c r="I97" s="30">
        <v>3.9025346420855242E-4</v>
      </c>
      <c r="J97" s="30">
        <v>0.18310587761101077</v>
      </c>
      <c r="K97" s="32">
        <v>0.77504420247130756</v>
      </c>
      <c r="L97" s="32">
        <v>1</v>
      </c>
    </row>
    <row r="98" spans="1:12">
      <c r="A98" s="10">
        <v>7</v>
      </c>
      <c r="B98" s="10" t="s">
        <v>87</v>
      </c>
      <c r="C98" s="12" t="s">
        <v>88</v>
      </c>
      <c r="D98" s="59">
        <v>7.9252163197995849E-3</v>
      </c>
      <c r="E98" s="30">
        <v>0.56015076885888637</v>
      </c>
      <c r="F98" s="30">
        <v>6.6909556047486898E-2</v>
      </c>
      <c r="G98" s="30">
        <v>4.0383139667647575E-2</v>
      </c>
      <c r="H98" s="30">
        <v>7.9070289840537961E-2</v>
      </c>
      <c r="I98" s="30">
        <v>1.2579838457904234E-3</v>
      </c>
      <c r="J98" s="30">
        <v>4.8937424234172223E-2</v>
      </c>
      <c r="K98" s="32">
        <v>0.19536562118567896</v>
      </c>
      <c r="L98" s="32">
        <v>1</v>
      </c>
    </row>
    <row r="99" spans="1:12">
      <c r="A99" s="10">
        <v>8</v>
      </c>
      <c r="B99" s="10" t="s">
        <v>89</v>
      </c>
      <c r="C99" s="12" t="s">
        <v>182</v>
      </c>
      <c r="D99" s="59">
        <v>6.0645405322244563E-4</v>
      </c>
      <c r="E99" s="30">
        <v>1.754855988276359E-2</v>
      </c>
      <c r="F99" s="30">
        <v>4.7923771827375634E-3</v>
      </c>
      <c r="G99" s="30">
        <v>4.3277171719445897E-3</v>
      </c>
      <c r="H99" s="30">
        <v>9.0779487575421598E-3</v>
      </c>
      <c r="I99" s="30">
        <v>-9.6306762039368549E-4</v>
      </c>
      <c r="J99" s="30">
        <v>0.17556487822216971</v>
      </c>
      <c r="K99" s="32">
        <v>0.78904513235001361</v>
      </c>
      <c r="L99" s="32">
        <v>1</v>
      </c>
    </row>
    <row r="100" spans="1:12">
      <c r="A100" s="10">
        <v>9</v>
      </c>
      <c r="B100" s="10" t="s">
        <v>91</v>
      </c>
      <c r="C100" s="12" t="s">
        <v>92</v>
      </c>
      <c r="D100" s="59">
        <v>7.7271960906391134E-4</v>
      </c>
      <c r="E100" s="30">
        <v>1.3683467259348266E-2</v>
      </c>
      <c r="F100" s="30">
        <v>6.8214607658272268E-3</v>
      </c>
      <c r="G100" s="30">
        <v>5.9780114653251802E-2</v>
      </c>
      <c r="H100" s="30">
        <v>8.9907640433042155E-2</v>
      </c>
      <c r="I100" s="30">
        <v>-1.7191115533824537E-2</v>
      </c>
      <c r="J100" s="30">
        <v>0.30416159141810395</v>
      </c>
      <c r="K100" s="32">
        <v>0.54206412139518723</v>
      </c>
      <c r="L100" s="32">
        <v>1</v>
      </c>
    </row>
    <row r="101" spans="1:12">
      <c r="A101" s="10">
        <v>10</v>
      </c>
      <c r="B101" s="10" t="s">
        <v>93</v>
      </c>
      <c r="C101" s="12" t="s">
        <v>94</v>
      </c>
      <c r="D101" s="59">
        <v>1.6548337041438465E-4</v>
      </c>
      <c r="E101" s="30">
        <v>3.5932820402404947E-3</v>
      </c>
      <c r="F101" s="30">
        <v>1.345095257541887E-3</v>
      </c>
      <c r="G101" s="30">
        <v>1.8389234473950668E-2</v>
      </c>
      <c r="H101" s="30">
        <v>3.2314180753091414E-2</v>
      </c>
      <c r="I101" s="30">
        <v>-3.8430650566305406E-3</v>
      </c>
      <c r="J101" s="30">
        <v>0.25948347816609491</v>
      </c>
      <c r="K101" s="32">
        <v>0.68855231099529679</v>
      </c>
      <c r="L101" s="32">
        <v>1</v>
      </c>
    </row>
    <row r="102" spans="1:12">
      <c r="A102" s="10">
        <v>11</v>
      </c>
      <c r="B102" s="10" t="s">
        <v>95</v>
      </c>
      <c r="C102" s="12" t="s">
        <v>96</v>
      </c>
      <c r="D102" s="59">
        <v>7.7338871485144531E-5</v>
      </c>
      <c r="E102" s="30">
        <v>3.386483430896388E-3</v>
      </c>
      <c r="F102" s="30">
        <v>1.3076686125210312E-3</v>
      </c>
      <c r="G102" s="30">
        <v>2.8815630986304178E-3</v>
      </c>
      <c r="H102" s="30">
        <v>4.2072187422206569E-3</v>
      </c>
      <c r="I102" s="30">
        <v>-1.0064565408548383E-3</v>
      </c>
      <c r="J102" s="30">
        <v>0.20633673061528393</v>
      </c>
      <c r="K102" s="32">
        <v>0.7828094531698172</v>
      </c>
      <c r="L102" s="32">
        <v>1</v>
      </c>
    </row>
    <row r="103" spans="1:12">
      <c r="A103" s="10">
        <v>12</v>
      </c>
      <c r="B103" s="10" t="s">
        <v>97</v>
      </c>
      <c r="C103" s="12" t="s">
        <v>98</v>
      </c>
      <c r="D103" s="59">
        <v>9.0989955904030302E-4</v>
      </c>
      <c r="E103" s="30">
        <v>1.443903820257871E-2</v>
      </c>
      <c r="F103" s="30">
        <v>4.3571326242121235E-3</v>
      </c>
      <c r="G103" s="30">
        <v>3.9755278777202759E-2</v>
      </c>
      <c r="H103" s="30">
        <v>6.7364296300110427E-2</v>
      </c>
      <c r="I103" s="30">
        <v>-4.6220440512792045E-3</v>
      </c>
      <c r="J103" s="30">
        <v>7.284400326899039E-2</v>
      </c>
      <c r="K103" s="32">
        <v>0.80495239531914442</v>
      </c>
      <c r="L103" s="32">
        <v>1</v>
      </c>
    </row>
    <row r="104" spans="1:12">
      <c r="A104" s="10">
        <v>13</v>
      </c>
      <c r="B104" s="10" t="s">
        <v>99</v>
      </c>
      <c r="C104" s="12" t="s">
        <v>183</v>
      </c>
      <c r="D104" s="59">
        <v>2.787720595022885E-5</v>
      </c>
      <c r="E104" s="30">
        <v>1.1877130066520467E-3</v>
      </c>
      <c r="F104" s="30">
        <v>4.6112981661488824E-4</v>
      </c>
      <c r="G104" s="30">
        <v>3.5448105133868047E-3</v>
      </c>
      <c r="H104" s="30">
        <v>3.5295428887658638E-2</v>
      </c>
      <c r="I104" s="30">
        <v>-2.1590581353545251E-3</v>
      </c>
      <c r="J104" s="30">
        <v>0.25358182823418157</v>
      </c>
      <c r="K104" s="32">
        <v>0.70806027047091036</v>
      </c>
      <c r="L104" s="32">
        <v>1</v>
      </c>
    </row>
    <row r="105" spans="1:12">
      <c r="A105" s="10">
        <v>14</v>
      </c>
      <c r="B105" s="10" t="s">
        <v>100</v>
      </c>
      <c r="C105" s="12" t="s">
        <v>184</v>
      </c>
      <c r="D105" s="59">
        <v>2.5803482504672922E-5</v>
      </c>
      <c r="E105" s="30">
        <v>8.9915172128211796E-4</v>
      </c>
      <c r="F105" s="30">
        <v>4.1833811312032808E-4</v>
      </c>
      <c r="G105" s="30">
        <v>5.5664463605492045E-4</v>
      </c>
      <c r="H105" s="30">
        <v>5.6941245977330898E-2</v>
      </c>
      <c r="I105" s="30">
        <v>-2.7708657763698286E-3</v>
      </c>
      <c r="J105" s="30">
        <v>0.46886447235659928</v>
      </c>
      <c r="K105" s="32">
        <v>0.47506520948947761</v>
      </c>
      <c r="L105" s="32">
        <v>1</v>
      </c>
    </row>
    <row r="106" spans="1:12">
      <c r="A106" s="10">
        <v>15</v>
      </c>
      <c r="B106" s="10" t="s">
        <v>101</v>
      </c>
      <c r="C106" s="12" t="s">
        <v>185</v>
      </c>
      <c r="D106" s="59">
        <v>3.1830177900167708E-4</v>
      </c>
      <c r="E106" s="30">
        <v>7.2571763365037612E-3</v>
      </c>
      <c r="F106" s="30">
        <v>1.7045215952922379E-2</v>
      </c>
      <c r="G106" s="30">
        <v>1.2827394692520812E-2</v>
      </c>
      <c r="H106" s="30">
        <v>7.2044297418603104E-2</v>
      </c>
      <c r="I106" s="30">
        <v>-4.4098933577000473E-3</v>
      </c>
      <c r="J106" s="30">
        <v>0.25302618732094218</v>
      </c>
      <c r="K106" s="32">
        <v>0.64189131985720616</v>
      </c>
      <c r="L106" s="32">
        <v>1</v>
      </c>
    </row>
    <row r="107" spans="1:12">
      <c r="A107" s="10">
        <v>16</v>
      </c>
      <c r="B107" s="10" t="s">
        <v>102</v>
      </c>
      <c r="C107" s="12" t="s">
        <v>186</v>
      </c>
      <c r="D107" s="59">
        <v>1.5082628258226365E-5</v>
      </c>
      <c r="E107" s="30">
        <v>7.0410929439069061E-4</v>
      </c>
      <c r="F107" s="30">
        <v>2.7828912646572822E-4</v>
      </c>
      <c r="G107" s="30">
        <v>1.9804404943925873E-4</v>
      </c>
      <c r="H107" s="30">
        <v>7.4098477310044757E-4</v>
      </c>
      <c r="I107" s="30">
        <v>1.2742971759589699E-4</v>
      </c>
      <c r="J107" s="30">
        <v>0.7160404142008111</v>
      </c>
      <c r="K107" s="32">
        <v>0.28189564620993857</v>
      </c>
      <c r="L107" s="32">
        <v>1</v>
      </c>
    </row>
    <row r="108" spans="1:12">
      <c r="A108" s="10">
        <v>17</v>
      </c>
      <c r="B108" s="10" t="s">
        <v>104</v>
      </c>
      <c r="C108" s="12" t="s">
        <v>105</v>
      </c>
      <c r="D108" s="59">
        <v>2.4411772432948365E-4</v>
      </c>
      <c r="E108" s="30">
        <v>1.7846470917598018E-2</v>
      </c>
      <c r="F108" s="30">
        <v>4.1204113866791014E-4</v>
      </c>
      <c r="G108" s="30">
        <v>2.7973798704869941E-3</v>
      </c>
      <c r="H108" s="30">
        <v>1.8010086543987464E-2</v>
      </c>
      <c r="I108" s="30">
        <v>-6.3135825145461467E-4</v>
      </c>
      <c r="J108" s="30">
        <v>0.22489798970508632</v>
      </c>
      <c r="K108" s="32">
        <v>0.73642327235129845</v>
      </c>
      <c r="L108" s="32">
        <v>1</v>
      </c>
    </row>
    <row r="109" spans="1:12">
      <c r="A109" s="10">
        <v>18</v>
      </c>
      <c r="B109" s="10" t="s">
        <v>106</v>
      </c>
      <c r="C109" s="12" t="s">
        <v>187</v>
      </c>
      <c r="D109" s="59">
        <v>1.2121317735662008E-4</v>
      </c>
      <c r="E109" s="30">
        <v>1.7101613654470084E-2</v>
      </c>
      <c r="F109" s="30">
        <v>1.9305654479502156E-4</v>
      </c>
      <c r="G109" s="30">
        <v>6.2218858929794299E-3</v>
      </c>
      <c r="H109" s="30">
        <v>1.7285716426776211E-2</v>
      </c>
      <c r="I109" s="30">
        <v>-2.0503920683718627E-3</v>
      </c>
      <c r="J109" s="30">
        <v>0.14984918970857078</v>
      </c>
      <c r="K109" s="32">
        <v>0.81127771666342374</v>
      </c>
      <c r="L109" s="32">
        <v>1</v>
      </c>
    </row>
    <row r="110" spans="1:12">
      <c r="A110" s="10">
        <v>19</v>
      </c>
      <c r="B110" s="10" t="s">
        <v>108</v>
      </c>
      <c r="C110" s="12" t="s">
        <v>109</v>
      </c>
      <c r="D110" s="59">
        <v>5.7250408282379065E-5</v>
      </c>
      <c r="E110" s="30">
        <v>1.9608959905228793E-2</v>
      </c>
      <c r="F110" s="30">
        <v>1.4667729053402993E-3</v>
      </c>
      <c r="G110" s="30">
        <v>3.4756070979683334E-3</v>
      </c>
      <c r="H110" s="30">
        <v>1.7784479179206839E-2</v>
      </c>
      <c r="I110" s="30">
        <v>-3.524147209863661E-4</v>
      </c>
      <c r="J110" s="30">
        <v>0.17687316776485401</v>
      </c>
      <c r="K110" s="32">
        <v>0.78108617746010567</v>
      </c>
      <c r="L110" s="32">
        <v>1</v>
      </c>
    </row>
    <row r="111" spans="1:12">
      <c r="A111" s="10">
        <v>20</v>
      </c>
      <c r="B111" s="10" t="s">
        <v>110</v>
      </c>
      <c r="C111" s="12" t="s">
        <v>66</v>
      </c>
      <c r="D111" s="59">
        <v>9.4228935189883106E-3</v>
      </c>
      <c r="E111" s="30">
        <v>0.1549170616287627</v>
      </c>
      <c r="F111" s="30">
        <v>3.7853485932342029E-2</v>
      </c>
      <c r="G111" s="30">
        <v>1.2575357099846331E-2</v>
      </c>
      <c r="H111" s="30">
        <v>7.2433846480695063E-2</v>
      </c>
      <c r="I111" s="30">
        <v>-2.2162420683701341E-2</v>
      </c>
      <c r="J111" s="30">
        <v>0.18682639554476593</v>
      </c>
      <c r="K111" s="32">
        <v>0.54813338047830107</v>
      </c>
      <c r="L111" s="32">
        <v>1</v>
      </c>
    </row>
    <row r="112" spans="1:12">
      <c r="A112" s="10">
        <v>21</v>
      </c>
      <c r="B112" s="10" t="s">
        <v>111</v>
      </c>
      <c r="C112" s="12" t="s">
        <v>112</v>
      </c>
      <c r="D112" s="59">
        <v>5.3407453658714966E-4</v>
      </c>
      <c r="E112" s="30">
        <v>2.6939825371294541E-2</v>
      </c>
      <c r="F112" s="30">
        <v>1.1411088080483776E-2</v>
      </c>
      <c r="G112" s="30">
        <v>0.38425148753132743</v>
      </c>
      <c r="H112" s="30">
        <v>0.5537396553213807</v>
      </c>
      <c r="I112" s="30">
        <v>-3.0465907567311008E-5</v>
      </c>
      <c r="J112" s="30">
        <v>6.1714471197561608E-3</v>
      </c>
      <c r="K112" s="32">
        <v>1.698288794673759E-2</v>
      </c>
      <c r="L112" s="32">
        <v>1</v>
      </c>
    </row>
    <row r="113" spans="1:12">
      <c r="A113" s="10">
        <v>22</v>
      </c>
      <c r="B113" s="10" t="s">
        <v>113</v>
      </c>
      <c r="C113" s="12" t="s">
        <v>188</v>
      </c>
      <c r="D113" s="59">
        <v>7.6774083571995696E-3</v>
      </c>
      <c r="E113" s="30">
        <v>0.34002298891322319</v>
      </c>
      <c r="F113" s="30">
        <v>7.2597735625561044E-2</v>
      </c>
      <c r="G113" s="30">
        <v>1.0662601925330003E-2</v>
      </c>
      <c r="H113" s="30">
        <v>3.8329041867230483E-2</v>
      </c>
      <c r="I113" s="30">
        <v>-6.1973417266493361E-4</v>
      </c>
      <c r="J113" s="30">
        <v>7.9378971092586709E-2</v>
      </c>
      <c r="K113" s="32">
        <v>0.45195098639153408</v>
      </c>
      <c r="L113" s="32">
        <v>1</v>
      </c>
    </row>
    <row r="114" spans="1:12">
      <c r="A114" s="10">
        <v>23</v>
      </c>
      <c r="B114" s="10" t="s">
        <v>115</v>
      </c>
      <c r="C114" s="12" t="s">
        <v>0</v>
      </c>
      <c r="D114" s="59">
        <v>9.331462179291072E-3</v>
      </c>
      <c r="E114" s="30">
        <v>0.70175128008512155</v>
      </c>
      <c r="F114" s="30">
        <v>0.10875774230066872</v>
      </c>
      <c r="G114" s="30">
        <v>1.2324187718135276E-2</v>
      </c>
      <c r="H114" s="30">
        <v>5.1373064932075982E-2</v>
      </c>
      <c r="I114" s="30">
        <v>-2.515935206778865E-5</v>
      </c>
      <c r="J114" s="30">
        <v>2.9597212213075236E-2</v>
      </c>
      <c r="K114" s="32">
        <v>8.6890209923699849E-2</v>
      </c>
      <c r="L114" s="32">
        <v>1</v>
      </c>
    </row>
    <row r="115" spans="1:12">
      <c r="A115" s="10">
        <v>24</v>
      </c>
      <c r="B115" s="10" t="s">
        <v>116</v>
      </c>
      <c r="C115" s="12" t="s">
        <v>1</v>
      </c>
      <c r="D115" s="59">
        <v>1.6469500012797678E-2</v>
      </c>
      <c r="E115" s="30">
        <v>0.24213598043591464</v>
      </c>
      <c r="F115" s="30">
        <v>0.4102144092316008</v>
      </c>
      <c r="G115" s="30">
        <v>2.0116578916086893E-2</v>
      </c>
      <c r="H115" s="30">
        <v>6.0336486216320928E-2</v>
      </c>
      <c r="I115" s="30">
        <v>-9.4419873794637712E-5</v>
      </c>
      <c r="J115" s="30">
        <v>2.9368875675253061E-2</v>
      </c>
      <c r="K115" s="32">
        <v>0.22145258938582063</v>
      </c>
      <c r="L115" s="32">
        <v>1</v>
      </c>
    </row>
    <row r="116" spans="1:12">
      <c r="A116" s="10">
        <v>25</v>
      </c>
      <c r="B116" s="10" t="s">
        <v>117</v>
      </c>
      <c r="C116" s="12" t="s">
        <v>67</v>
      </c>
      <c r="D116" s="59">
        <v>1.7012252292206903E-2</v>
      </c>
      <c r="E116" s="30">
        <v>0.39077343358243261</v>
      </c>
      <c r="F116" s="30">
        <v>3.421852904059574E-2</v>
      </c>
      <c r="G116" s="30">
        <v>2.0976794531286272E-2</v>
      </c>
      <c r="H116" s="30">
        <v>0.10820996587393246</v>
      </c>
      <c r="I116" s="30">
        <v>1.2392417804750931E-3</v>
      </c>
      <c r="J116" s="30">
        <v>6.7510855839345629E-2</v>
      </c>
      <c r="K116" s="32">
        <v>0.36005892705972525</v>
      </c>
      <c r="L116" s="32">
        <v>1</v>
      </c>
    </row>
    <row r="117" spans="1:12">
      <c r="A117" s="10">
        <v>26</v>
      </c>
      <c r="B117" s="10" t="s">
        <v>118</v>
      </c>
      <c r="C117" s="12" t="s">
        <v>68</v>
      </c>
      <c r="D117" s="59">
        <v>4.1965742762089158E-3</v>
      </c>
      <c r="E117" s="30">
        <v>0.65782858330240801</v>
      </c>
      <c r="F117" s="30">
        <v>5.4009366938707976E-2</v>
      </c>
      <c r="G117" s="30">
        <v>1.6066230685687813E-2</v>
      </c>
      <c r="H117" s="30">
        <v>4.2638503276925234E-2</v>
      </c>
      <c r="I117" s="30">
        <v>-2.545293377788352E-4</v>
      </c>
      <c r="J117" s="30">
        <v>9.3228708399189647E-2</v>
      </c>
      <c r="K117" s="32">
        <v>0.13228656245865131</v>
      </c>
      <c r="L117" s="32">
        <v>1</v>
      </c>
    </row>
    <row r="118" spans="1:12">
      <c r="A118" s="10">
        <v>27</v>
      </c>
      <c r="B118" s="10" t="s">
        <v>119</v>
      </c>
      <c r="C118" s="12" t="s">
        <v>120</v>
      </c>
      <c r="D118" s="59">
        <v>2.7461598871297527E-3</v>
      </c>
      <c r="E118" s="30">
        <v>0.88925391456269187</v>
      </c>
      <c r="F118" s="30">
        <v>2.1907558870005624E-2</v>
      </c>
      <c r="G118" s="30">
        <v>4.4437775994664247E-3</v>
      </c>
      <c r="H118" s="30">
        <v>3.5282585867650602E-2</v>
      </c>
      <c r="I118" s="30">
        <v>-2.0565427947039857E-6</v>
      </c>
      <c r="J118" s="30">
        <v>9.5575396179608044E-3</v>
      </c>
      <c r="K118" s="32">
        <v>3.6810520137889664E-2</v>
      </c>
      <c r="L118" s="32">
        <v>1</v>
      </c>
    </row>
    <row r="119" spans="1:12">
      <c r="A119" s="10">
        <v>28</v>
      </c>
      <c r="B119" s="10" t="s">
        <v>121</v>
      </c>
      <c r="C119" s="12" t="s">
        <v>189</v>
      </c>
      <c r="D119" s="59">
        <v>1.5359481397359657E-2</v>
      </c>
      <c r="E119" s="30">
        <v>0.29534181505320217</v>
      </c>
      <c r="F119" s="30">
        <v>8.6840442611684526E-2</v>
      </c>
      <c r="G119" s="30">
        <v>4.1685119622957324E-2</v>
      </c>
      <c r="H119" s="30">
        <v>0.10411579975065345</v>
      </c>
      <c r="I119" s="30">
        <v>6.0078609798492298E-4</v>
      </c>
      <c r="J119" s="30">
        <v>8.8597638097570847E-2</v>
      </c>
      <c r="K119" s="32">
        <v>0.3674589173685871</v>
      </c>
      <c r="L119" s="32">
        <v>1</v>
      </c>
    </row>
    <row r="120" spans="1:12">
      <c r="A120" s="10">
        <v>29</v>
      </c>
      <c r="B120" s="10" t="s">
        <v>123</v>
      </c>
      <c r="C120" s="12" t="s">
        <v>190</v>
      </c>
      <c r="D120" s="59">
        <v>6.803501072285458E-3</v>
      </c>
      <c r="E120" s="30">
        <v>0.37271757503922215</v>
      </c>
      <c r="F120" s="30">
        <v>5.7311558061050767E-2</v>
      </c>
      <c r="G120" s="30">
        <v>4.0929177808832068E-2</v>
      </c>
      <c r="H120" s="30">
        <v>0.23166050493409654</v>
      </c>
      <c r="I120" s="30">
        <v>-6.8278381241255158E-4</v>
      </c>
      <c r="J120" s="30">
        <v>4.4570551249156758E-2</v>
      </c>
      <c r="K120" s="32">
        <v>0.24668991564776874</v>
      </c>
      <c r="L120" s="32">
        <v>1</v>
      </c>
    </row>
    <row r="121" spans="1:12">
      <c r="A121" s="10">
        <v>30</v>
      </c>
      <c r="B121" s="10" t="s">
        <v>125</v>
      </c>
      <c r="C121" s="12" t="s">
        <v>69</v>
      </c>
      <c r="D121" s="59">
        <v>6.917594858968136E-5</v>
      </c>
      <c r="E121" s="30">
        <v>3.481150878992726E-2</v>
      </c>
      <c r="F121" s="30">
        <v>0.95646624464748642</v>
      </c>
      <c r="G121" s="30">
        <v>7.26892997281891E-4</v>
      </c>
      <c r="H121" s="30">
        <v>1.3894127351867494E-3</v>
      </c>
      <c r="I121" s="30">
        <v>-4.9358322646885221E-6</v>
      </c>
      <c r="J121" s="30">
        <v>4.6585979969210149E-3</v>
      </c>
      <c r="K121" s="32">
        <v>1.883102716871314E-3</v>
      </c>
      <c r="L121" s="32">
        <v>1</v>
      </c>
    </row>
    <row r="122" spans="1:12">
      <c r="A122" s="10">
        <v>31</v>
      </c>
      <c r="B122" s="10" t="s">
        <v>126</v>
      </c>
      <c r="C122" s="12" t="s">
        <v>127</v>
      </c>
      <c r="D122" s="59">
        <v>7.923103264611731E-5</v>
      </c>
      <c r="E122" s="30">
        <v>7.9774256088092133E-2</v>
      </c>
      <c r="F122" s="30">
        <v>0.38227861507446154</v>
      </c>
      <c r="G122" s="30">
        <v>5.1127565137026668E-2</v>
      </c>
      <c r="H122" s="30">
        <v>0.45492582958939548</v>
      </c>
      <c r="I122" s="30">
        <v>-8.7156166001196689E-6</v>
      </c>
      <c r="J122" s="30">
        <v>1.8669525388812627E-2</v>
      </c>
      <c r="K122" s="32">
        <v>1.3153693306165549E-2</v>
      </c>
      <c r="L122" s="32">
        <v>1</v>
      </c>
    </row>
    <row r="123" spans="1:12">
      <c r="A123" s="10">
        <v>32</v>
      </c>
      <c r="B123" s="10" t="s">
        <v>128</v>
      </c>
      <c r="C123" s="12" t="s">
        <v>191</v>
      </c>
      <c r="D123" s="59">
        <v>7.8298826232454394E-3</v>
      </c>
      <c r="E123" s="30">
        <v>0.1913061604739385</v>
      </c>
      <c r="F123" s="30">
        <v>0.79547152713871683</v>
      </c>
      <c r="G123" s="30">
        <v>8.1724327138668784E-6</v>
      </c>
      <c r="H123" s="30">
        <v>3.2661188327256037E-5</v>
      </c>
      <c r="I123" s="30">
        <v>4.4386667268672545E-9</v>
      </c>
      <c r="J123" s="30">
        <v>3.0120399995271568E-5</v>
      </c>
      <c r="K123" s="32">
        <v>5.3214713043961189E-3</v>
      </c>
      <c r="L123" s="32">
        <v>1</v>
      </c>
    </row>
    <row r="124" spans="1:12">
      <c r="A124" s="10">
        <v>33</v>
      </c>
      <c r="B124" s="10" t="s">
        <v>130</v>
      </c>
      <c r="C124" s="12" t="s">
        <v>192</v>
      </c>
      <c r="D124" s="59">
        <v>3.3409991974802824E-3</v>
      </c>
      <c r="E124" s="30">
        <v>0.81539442572788412</v>
      </c>
      <c r="F124" s="30">
        <v>3.2643873828343849E-2</v>
      </c>
      <c r="G124" s="30">
        <v>1.0462656767683204E-2</v>
      </c>
      <c r="H124" s="30">
        <v>3.0002988549181681E-2</v>
      </c>
      <c r="I124" s="30">
        <v>-8.7583380499892761E-5</v>
      </c>
      <c r="J124" s="30">
        <v>2.747797937526681E-2</v>
      </c>
      <c r="K124" s="32">
        <v>8.0764659934659866E-2</v>
      </c>
      <c r="L124" s="32">
        <v>1</v>
      </c>
    </row>
    <row r="125" spans="1:12">
      <c r="A125" s="10">
        <v>34</v>
      </c>
      <c r="B125" s="10" t="s">
        <v>131</v>
      </c>
      <c r="C125" s="12" t="s">
        <v>132</v>
      </c>
      <c r="D125" s="59">
        <v>7.3523389211315278E-3</v>
      </c>
      <c r="E125" s="30">
        <v>0.24483798682044144</v>
      </c>
      <c r="F125" s="30">
        <v>0.12174387249465923</v>
      </c>
      <c r="G125" s="30">
        <v>5.2898447049571702E-2</v>
      </c>
      <c r="H125" s="30">
        <v>0.13912404934467243</v>
      </c>
      <c r="I125" s="30">
        <v>-3.1131068681524766E-4</v>
      </c>
      <c r="J125" s="30">
        <v>0.11250006603508432</v>
      </c>
      <c r="K125" s="32">
        <v>0.32185455002125452</v>
      </c>
      <c r="L125" s="32">
        <v>1</v>
      </c>
    </row>
    <row r="126" spans="1:12">
      <c r="A126" s="10">
        <v>35</v>
      </c>
      <c r="B126" s="10" t="s">
        <v>133</v>
      </c>
      <c r="C126" s="12" t="s">
        <v>193</v>
      </c>
      <c r="D126" s="59">
        <v>9.6387798417387788E-2</v>
      </c>
      <c r="E126" s="30">
        <v>0.60368482409302171</v>
      </c>
      <c r="F126" s="30">
        <v>3.7191701716416635E-2</v>
      </c>
      <c r="G126" s="30">
        <v>1.1645163144208496E-3</v>
      </c>
      <c r="H126" s="30">
        <v>1.0450388769240287E-2</v>
      </c>
      <c r="I126" s="30">
        <v>-6.1860244470559423E-6</v>
      </c>
      <c r="J126" s="30">
        <v>2.950264047309107E-2</v>
      </c>
      <c r="K126" s="32">
        <v>0.22162431624086851</v>
      </c>
      <c r="L126" s="32">
        <v>1</v>
      </c>
    </row>
    <row r="127" spans="1:12">
      <c r="A127" s="10">
        <v>36</v>
      </c>
      <c r="B127" s="10" t="s">
        <v>135</v>
      </c>
      <c r="C127" s="12" t="s">
        <v>194</v>
      </c>
      <c r="D127" s="59">
        <v>9.7961588704722664E-3</v>
      </c>
      <c r="E127" s="30">
        <v>0.2415295182589017</v>
      </c>
      <c r="F127" s="30">
        <v>0.25322689640503565</v>
      </c>
      <c r="G127" s="30">
        <v>3.5440303425535884E-2</v>
      </c>
      <c r="H127" s="30">
        <v>0.12189380700034941</v>
      </c>
      <c r="I127" s="30">
        <v>-5.257534719812077E-4</v>
      </c>
      <c r="J127" s="30">
        <v>0.11111941605473762</v>
      </c>
      <c r="K127" s="32">
        <v>0.22751965345694863</v>
      </c>
      <c r="L127" s="32">
        <v>1</v>
      </c>
    </row>
    <row r="128" spans="1:12">
      <c r="A128" s="58">
        <v>37</v>
      </c>
      <c r="B128" s="10" t="s">
        <v>136</v>
      </c>
      <c r="C128" s="12" t="s">
        <v>195</v>
      </c>
      <c r="D128" s="59">
        <v>6.1758080012693228E-3</v>
      </c>
      <c r="E128" s="30">
        <v>0.15715921475508138</v>
      </c>
      <c r="F128" s="30">
        <v>6.4146438315539275E-2</v>
      </c>
      <c r="G128" s="30">
        <v>6.4894687824342587E-2</v>
      </c>
      <c r="H128" s="30">
        <v>0.12404233641852466</v>
      </c>
      <c r="I128" s="30">
        <v>-4.4065535803485358E-4</v>
      </c>
      <c r="J128" s="30">
        <v>0.41590476705618495</v>
      </c>
      <c r="K128" s="32">
        <v>0.16811740298709268</v>
      </c>
      <c r="L128" s="32">
        <v>1</v>
      </c>
    </row>
    <row r="129" spans="1:12">
      <c r="A129" s="6"/>
      <c r="B129" s="17"/>
      <c r="C129" s="13" t="s">
        <v>35</v>
      </c>
      <c r="D129" s="60">
        <v>8.6436038725863848E-3</v>
      </c>
      <c r="E129" s="33">
        <v>0.24890529717850879</v>
      </c>
      <c r="F129" s="33">
        <v>0.15204998207678888</v>
      </c>
      <c r="G129" s="33">
        <v>4.395294920439418E-2</v>
      </c>
      <c r="H129" s="33">
        <v>0.1079818169041923</v>
      </c>
      <c r="I129" s="33">
        <v>-7.2056942103600652E-4</v>
      </c>
      <c r="J129" s="33">
        <v>0.11179859020390269</v>
      </c>
      <c r="K129" s="35">
        <v>0.3273883299806627</v>
      </c>
      <c r="L129" s="35">
        <v>1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B9A9-DBD1-45BA-A3C0-A87619A0692C}">
  <dimension ref="A1:U129"/>
  <sheetViews>
    <sheetView workbookViewId="0">
      <selection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1.59765625" style="1" customWidth="1"/>
    <col min="4" max="163" width="10.59765625" style="1" customWidth="1"/>
    <col min="164" max="16384" width="8.69921875" style="1"/>
  </cols>
  <sheetData>
    <row r="1" spans="1:12">
      <c r="A1" s="1" t="s">
        <v>226</v>
      </c>
    </row>
    <row r="2" spans="1:12">
      <c r="A2" s="1" t="s">
        <v>171</v>
      </c>
      <c r="L2" s="68" t="s">
        <v>207</v>
      </c>
    </row>
    <row r="3" spans="1:12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20">
        <v>9</v>
      </c>
    </row>
    <row r="4" spans="1:12">
      <c r="A4" s="10"/>
      <c r="B4" s="16"/>
      <c r="C4" s="18"/>
      <c r="D4" s="2" t="s">
        <v>138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150</v>
      </c>
      <c r="J4" s="4" t="s">
        <v>154</v>
      </c>
      <c r="K4" s="3" t="s">
        <v>155</v>
      </c>
      <c r="L4" s="5"/>
    </row>
    <row r="5" spans="1:12" ht="48" customHeight="1">
      <c r="A5" s="6"/>
      <c r="B5" s="15"/>
      <c r="C5" s="69" t="s">
        <v>225</v>
      </c>
      <c r="D5" s="53" t="s">
        <v>6</v>
      </c>
      <c r="E5" s="7" t="s">
        <v>70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12</v>
      </c>
      <c r="K5" s="9" t="s">
        <v>13</v>
      </c>
      <c r="L5" s="8" t="s">
        <v>169</v>
      </c>
    </row>
    <row r="6" spans="1:12">
      <c r="A6" s="10">
        <v>1</v>
      </c>
      <c r="B6" s="10" t="s">
        <v>75</v>
      </c>
      <c r="C6" s="12" t="s">
        <v>179</v>
      </c>
      <c r="D6" s="55">
        <v>654.47073350786161</v>
      </c>
      <c r="E6" s="21">
        <v>18137.685973454365</v>
      </c>
      <c r="F6" s="21">
        <v>863.4871145617916</v>
      </c>
      <c r="G6" s="21">
        <v>176.93498592614216</v>
      </c>
      <c r="H6" s="21">
        <v>1248.4614654628269</v>
      </c>
      <c r="I6" s="21">
        <v>879.93846471618656</v>
      </c>
      <c r="J6" s="27">
        <v>1687.880795339416</v>
      </c>
      <c r="K6" s="57">
        <v>146516.14046703139</v>
      </c>
      <c r="L6" s="23">
        <v>170165</v>
      </c>
    </row>
    <row r="7" spans="1:12">
      <c r="A7" s="10">
        <v>2</v>
      </c>
      <c r="B7" s="10" t="s">
        <v>77</v>
      </c>
      <c r="C7" s="12" t="s">
        <v>180</v>
      </c>
      <c r="D7" s="55">
        <v>2.5286956609084821</v>
      </c>
      <c r="E7" s="21">
        <v>324.44287099004458</v>
      </c>
      <c r="F7" s="21">
        <v>72.862608243637922</v>
      </c>
      <c r="G7" s="21">
        <v>100.2846508697595</v>
      </c>
      <c r="H7" s="21">
        <v>162.84464022875375</v>
      </c>
      <c r="I7" s="21">
        <v>25.995917950283971</v>
      </c>
      <c r="J7" s="21">
        <v>222.22080427126565</v>
      </c>
      <c r="K7" s="23">
        <v>788.81981178534636</v>
      </c>
      <c r="L7" s="23">
        <v>1700.0000000000005</v>
      </c>
    </row>
    <row r="8" spans="1:12">
      <c r="A8" s="10">
        <v>3</v>
      </c>
      <c r="B8" s="10" t="s">
        <v>79</v>
      </c>
      <c r="C8" s="12" t="s">
        <v>181</v>
      </c>
      <c r="D8" s="55">
        <v>1295.4280755781017</v>
      </c>
      <c r="E8" s="21">
        <v>31036.902539218241</v>
      </c>
      <c r="F8" s="21">
        <v>825.41716450300942</v>
      </c>
      <c r="G8" s="21">
        <v>24.134409289673226</v>
      </c>
      <c r="H8" s="21">
        <v>192.48592831090778</v>
      </c>
      <c r="I8" s="21">
        <v>-165.30689560842953</v>
      </c>
      <c r="J8" s="21">
        <v>3216.9061779610665</v>
      </c>
      <c r="K8" s="23">
        <v>189403.03260074757</v>
      </c>
      <c r="L8" s="23">
        <v>225829.00000000015</v>
      </c>
    </row>
    <row r="9" spans="1:12">
      <c r="A9" s="10">
        <v>4</v>
      </c>
      <c r="B9" s="10" t="s">
        <v>81</v>
      </c>
      <c r="C9" s="12" t="s">
        <v>82</v>
      </c>
      <c r="D9" s="55">
        <v>35.138029414288596</v>
      </c>
      <c r="E9" s="21">
        <v>999.82348752384189</v>
      </c>
      <c r="F9" s="21">
        <v>118.14128416886919</v>
      </c>
      <c r="G9" s="21">
        <v>29.866061481418736</v>
      </c>
      <c r="H9" s="21">
        <v>99.054104723425795</v>
      </c>
      <c r="I9" s="21">
        <v>-23.680674533500152</v>
      </c>
      <c r="J9" s="21">
        <v>625.28786785430725</v>
      </c>
      <c r="K9" s="23">
        <v>4119.3698393673467</v>
      </c>
      <c r="L9" s="23">
        <v>6002.9999999999982</v>
      </c>
    </row>
    <row r="10" spans="1:12">
      <c r="A10" s="10">
        <v>5</v>
      </c>
      <c r="B10" s="10" t="s">
        <v>83</v>
      </c>
      <c r="C10" s="12" t="s">
        <v>84</v>
      </c>
      <c r="D10" s="55">
        <v>290.40733838038352</v>
      </c>
      <c r="E10" s="21">
        <v>3868.0088879808745</v>
      </c>
      <c r="F10" s="21">
        <v>1804.8713764423685</v>
      </c>
      <c r="G10" s="21">
        <v>2591.4313932303171</v>
      </c>
      <c r="H10" s="21">
        <v>4975.323631969577</v>
      </c>
      <c r="I10" s="21">
        <v>-295.80304949326978</v>
      </c>
      <c r="J10" s="21">
        <v>1672.3958504211409</v>
      </c>
      <c r="K10" s="23">
        <v>33624.364571068618</v>
      </c>
      <c r="L10" s="23">
        <v>48531.000000000015</v>
      </c>
    </row>
    <row r="11" spans="1:12">
      <c r="A11" s="10">
        <v>6</v>
      </c>
      <c r="B11" s="10" t="s">
        <v>85</v>
      </c>
      <c r="C11" s="12" t="s">
        <v>86</v>
      </c>
      <c r="D11" s="55">
        <v>46.502768012647742</v>
      </c>
      <c r="E11" s="21">
        <v>760.11270218358891</v>
      </c>
      <c r="F11" s="21">
        <v>1304.3783848651019</v>
      </c>
      <c r="G11" s="21">
        <v>34.356829512354878</v>
      </c>
      <c r="H11" s="21">
        <v>86.381700950316358</v>
      </c>
      <c r="I11" s="21">
        <v>21.006953724882155</v>
      </c>
      <c r="J11" s="21">
        <v>9856.4062859230926</v>
      </c>
      <c r="K11" s="23">
        <v>41719.854374827984</v>
      </c>
      <c r="L11" s="23">
        <v>53828.999999999964</v>
      </c>
    </row>
    <row r="12" spans="1:12">
      <c r="A12" s="10">
        <v>7</v>
      </c>
      <c r="B12" s="10" t="s">
        <v>87</v>
      </c>
      <c r="C12" s="12" t="s">
        <v>88</v>
      </c>
      <c r="D12" s="55">
        <v>30.155448096837464</v>
      </c>
      <c r="E12" s="21">
        <v>2131.3736755080654</v>
      </c>
      <c r="F12" s="21">
        <v>254.59086076068803</v>
      </c>
      <c r="G12" s="21">
        <v>153.65784643539925</v>
      </c>
      <c r="H12" s="21">
        <v>300.86245284324735</v>
      </c>
      <c r="I12" s="21">
        <v>4.7866285332325678</v>
      </c>
      <c r="J12" s="21">
        <v>186.20689921102559</v>
      </c>
      <c r="K12" s="23">
        <v>743.36618861150953</v>
      </c>
      <c r="L12" s="23">
        <v>3805.0000000000055</v>
      </c>
    </row>
    <row r="13" spans="1:12">
      <c r="A13" s="10">
        <v>8</v>
      </c>
      <c r="B13" s="10" t="s">
        <v>89</v>
      </c>
      <c r="C13" s="12" t="s">
        <v>182</v>
      </c>
      <c r="D13" s="55">
        <v>50.358731671485387</v>
      </c>
      <c r="E13" s="21">
        <v>1457.1973155449216</v>
      </c>
      <c r="F13" s="21">
        <v>397.94941650016136</v>
      </c>
      <c r="G13" s="21">
        <v>359.3649785239345</v>
      </c>
      <c r="H13" s="21">
        <v>753.81470892878508</v>
      </c>
      <c r="I13" s="21">
        <v>-79.971209062250779</v>
      </c>
      <c r="J13" s="21">
        <v>14578.556357812513</v>
      </c>
      <c r="K13" s="23">
        <v>65520.729700080366</v>
      </c>
      <c r="L13" s="23">
        <v>83037.999999999913</v>
      </c>
    </row>
    <row r="14" spans="1:12">
      <c r="A14" s="10">
        <v>9</v>
      </c>
      <c r="B14" s="10" t="s">
        <v>91</v>
      </c>
      <c r="C14" s="12" t="s">
        <v>92</v>
      </c>
      <c r="D14" s="55">
        <v>48.284157491967591</v>
      </c>
      <c r="E14" s="21">
        <v>855.02513516763634</v>
      </c>
      <c r="F14" s="21">
        <v>426.24579741348032</v>
      </c>
      <c r="G14" s="21">
        <v>3735.4202442230944</v>
      </c>
      <c r="H14" s="21">
        <v>5617.9688200990759</v>
      </c>
      <c r="I14" s="21">
        <v>-1074.2040452465606</v>
      </c>
      <c r="J14" s="21">
        <v>19005.841201351654</v>
      </c>
      <c r="K14" s="23">
        <v>33871.418689499689</v>
      </c>
      <c r="L14" s="23">
        <v>62486.000000000036</v>
      </c>
    </row>
    <row r="15" spans="1:12">
      <c r="A15" s="10">
        <v>10</v>
      </c>
      <c r="B15" s="10" t="s">
        <v>93</v>
      </c>
      <c r="C15" s="12" t="s">
        <v>94</v>
      </c>
      <c r="D15" s="55">
        <v>2.1837185559882197</v>
      </c>
      <c r="E15" s="21">
        <v>47.416949803013566</v>
      </c>
      <c r="F15" s="21">
        <v>17.749877018522742</v>
      </c>
      <c r="G15" s="21">
        <v>242.664338118253</v>
      </c>
      <c r="H15" s="21">
        <v>426.41792921779427</v>
      </c>
      <c r="I15" s="21">
        <v>-50.713086487296607</v>
      </c>
      <c r="J15" s="21">
        <v>3424.1439778797881</v>
      </c>
      <c r="K15" s="23">
        <v>9086.1362958939371</v>
      </c>
      <c r="L15" s="23">
        <v>13196</v>
      </c>
    </row>
    <row r="16" spans="1:12">
      <c r="A16" s="10">
        <v>11</v>
      </c>
      <c r="B16" s="10" t="s">
        <v>95</v>
      </c>
      <c r="C16" s="12" t="s">
        <v>96</v>
      </c>
      <c r="D16" s="55">
        <v>1.4313104945755699</v>
      </c>
      <c r="E16" s="21">
        <v>62.67364885559946</v>
      </c>
      <c r="F16" s="21">
        <v>24.201023011926729</v>
      </c>
      <c r="G16" s="21">
        <v>53.329088266353146</v>
      </c>
      <c r="H16" s="21">
        <v>77.862997262277702</v>
      </c>
      <c r="I16" s="21">
        <v>-18.626491201600494</v>
      </c>
      <c r="J16" s="21">
        <v>3818.67387349706</v>
      </c>
      <c r="K16" s="23">
        <v>14487.454549813809</v>
      </c>
      <c r="L16" s="23">
        <v>18507</v>
      </c>
    </row>
    <row r="17" spans="1:12">
      <c r="A17" s="10">
        <v>12</v>
      </c>
      <c r="B17" s="10" t="s">
        <v>97</v>
      </c>
      <c r="C17" s="12" t="s">
        <v>98</v>
      </c>
      <c r="D17" s="55">
        <v>121.89651422595237</v>
      </c>
      <c r="E17" s="21">
        <v>1934.3546308848636</v>
      </c>
      <c r="F17" s="21">
        <v>583.71198626782598</v>
      </c>
      <c r="G17" s="21">
        <v>5325.8954319455261</v>
      </c>
      <c r="H17" s="21">
        <v>9024.5926824369017</v>
      </c>
      <c r="I17" s="21">
        <v>-619.20137541772169</v>
      </c>
      <c r="J17" s="21">
        <v>9758.6925859368439</v>
      </c>
      <c r="K17" s="23">
        <v>107837.0575437199</v>
      </c>
      <c r="L17" s="23">
        <v>133967.00000000012</v>
      </c>
    </row>
    <row r="18" spans="1:12">
      <c r="A18" s="10">
        <v>13</v>
      </c>
      <c r="B18" s="10" t="s">
        <v>99</v>
      </c>
      <c r="C18" s="12" t="s">
        <v>183</v>
      </c>
      <c r="D18" s="55">
        <v>3.9463530287262962</v>
      </c>
      <c r="E18" s="21">
        <v>168.13502864767705</v>
      </c>
      <c r="F18" s="21">
        <v>65.278459099636805</v>
      </c>
      <c r="G18" s="21">
        <v>501.81046589606285</v>
      </c>
      <c r="H18" s="21">
        <v>4996.4915041947315</v>
      </c>
      <c r="I18" s="21">
        <v>-305.64058775705723</v>
      </c>
      <c r="J18" s="21">
        <v>35897.550768487206</v>
      </c>
      <c r="K18" s="23">
        <v>100234.42800840302</v>
      </c>
      <c r="L18" s="23">
        <v>141562</v>
      </c>
    </row>
    <row r="19" spans="1:12">
      <c r="A19" s="10">
        <v>14</v>
      </c>
      <c r="B19" s="10" t="s">
        <v>100</v>
      </c>
      <c r="C19" s="12" t="s">
        <v>184</v>
      </c>
      <c r="D19" s="55">
        <v>7.3410907725794505</v>
      </c>
      <c r="E19" s="21">
        <v>255.80866470476272</v>
      </c>
      <c r="F19" s="21">
        <v>119.01719318273341</v>
      </c>
      <c r="G19" s="21">
        <v>158.36539895762496</v>
      </c>
      <c r="H19" s="21">
        <v>16199.78448055065</v>
      </c>
      <c r="I19" s="21">
        <v>-788.31131337721672</v>
      </c>
      <c r="J19" s="21">
        <v>133391.94238545257</v>
      </c>
      <c r="K19" s="23">
        <v>135156.05209975646</v>
      </c>
      <c r="L19" s="23">
        <v>284500.00000000017</v>
      </c>
    </row>
    <row r="20" spans="1:12">
      <c r="A20" s="10">
        <v>15</v>
      </c>
      <c r="B20" s="10" t="s">
        <v>101</v>
      </c>
      <c r="C20" s="12" t="s">
        <v>185</v>
      </c>
      <c r="D20" s="55">
        <v>26.740850755709907</v>
      </c>
      <c r="E20" s="21">
        <v>609.68264120601782</v>
      </c>
      <c r="F20" s="21">
        <v>1431.9856374209626</v>
      </c>
      <c r="G20" s="21">
        <v>1077.6422555133663</v>
      </c>
      <c r="H20" s="21">
        <v>6052.5134704342681</v>
      </c>
      <c r="I20" s="21">
        <v>-370.47955087373884</v>
      </c>
      <c r="J20" s="21">
        <v>21256.983023019682</v>
      </c>
      <c r="K20" s="23">
        <v>53925.931672523766</v>
      </c>
      <c r="L20" s="23">
        <v>84011.000000000044</v>
      </c>
    </row>
    <row r="21" spans="1:12">
      <c r="A21" s="10">
        <v>16</v>
      </c>
      <c r="B21" s="10" t="s">
        <v>102</v>
      </c>
      <c r="C21" s="12" t="s">
        <v>186</v>
      </c>
      <c r="D21" s="55">
        <v>3.1625556584414207</v>
      </c>
      <c r="E21" s="21">
        <v>147.63904506642876</v>
      </c>
      <c r="F21" s="21">
        <v>58.352220615586823</v>
      </c>
      <c r="G21" s="21">
        <v>41.526272374522648</v>
      </c>
      <c r="H21" s="21">
        <v>155.37116919324805</v>
      </c>
      <c r="I21" s="21">
        <v>26.719718044942873</v>
      </c>
      <c r="J21" s="21">
        <v>150140.78613045448</v>
      </c>
      <c r="K21" s="23">
        <v>59108.442888592333</v>
      </c>
      <c r="L21" s="23">
        <v>209682</v>
      </c>
    </row>
    <row r="22" spans="1:12">
      <c r="A22" s="10">
        <v>17</v>
      </c>
      <c r="B22" s="10" t="s">
        <v>104</v>
      </c>
      <c r="C22" s="12" t="s">
        <v>105</v>
      </c>
      <c r="D22" s="55">
        <v>24.540666591394334</v>
      </c>
      <c r="E22" s="21">
        <v>1794.0700284042935</v>
      </c>
      <c r="F22" s="21">
        <v>41.421671588007676</v>
      </c>
      <c r="G22" s="21">
        <v>281.21500362031657</v>
      </c>
      <c r="H22" s="21">
        <v>1810.5179800939716</v>
      </c>
      <c r="I22" s="21">
        <v>-63.469182302229505</v>
      </c>
      <c r="J22" s="21">
        <v>22608.545109072918</v>
      </c>
      <c r="K22" s="23">
        <v>74031.15872293133</v>
      </c>
      <c r="L22" s="23">
        <v>100528</v>
      </c>
    </row>
    <row r="23" spans="1:12">
      <c r="A23" s="10">
        <v>18</v>
      </c>
      <c r="B23" s="10" t="s">
        <v>106</v>
      </c>
      <c r="C23" s="12" t="s">
        <v>187</v>
      </c>
      <c r="D23" s="55">
        <v>17.79263987782355</v>
      </c>
      <c r="E23" s="21">
        <v>2510.3116651123546</v>
      </c>
      <c r="F23" s="21">
        <v>28.338384097371627</v>
      </c>
      <c r="G23" s="21">
        <v>913.29818645866465</v>
      </c>
      <c r="H23" s="21">
        <v>2537.3357428536265</v>
      </c>
      <c r="I23" s="21">
        <v>-300.97295093216906</v>
      </c>
      <c r="J23" s="21">
        <v>21996.062858941688</v>
      </c>
      <c r="K23" s="23">
        <v>119085.83347359065</v>
      </c>
      <c r="L23" s="23">
        <v>146788</v>
      </c>
    </row>
    <row r="24" spans="1:12">
      <c r="A24" s="10">
        <v>19</v>
      </c>
      <c r="B24" s="10" t="s">
        <v>108</v>
      </c>
      <c r="C24" s="12" t="s">
        <v>109</v>
      </c>
      <c r="D24" s="55">
        <v>5.6979041347120605</v>
      </c>
      <c r="E24" s="21">
        <v>1951.6013435278014</v>
      </c>
      <c r="F24" s="21">
        <v>145.98204017689866</v>
      </c>
      <c r="G24" s="21">
        <v>345.91327203239643</v>
      </c>
      <c r="H24" s="21">
        <v>1770.0180747897405</v>
      </c>
      <c r="I24" s="21">
        <v>-35.074427520889081</v>
      </c>
      <c r="J24" s="21">
        <v>17603.478894964865</v>
      </c>
      <c r="K24" s="23">
        <v>77738.382897894495</v>
      </c>
      <c r="L24" s="23">
        <v>99526.000000000029</v>
      </c>
    </row>
    <row r="25" spans="1:12">
      <c r="A25" s="10">
        <v>20</v>
      </c>
      <c r="B25" s="10" t="s">
        <v>110</v>
      </c>
      <c r="C25" s="12" t="s">
        <v>66</v>
      </c>
      <c r="D25" s="55">
        <v>720.98327471187145</v>
      </c>
      <c r="E25" s="21">
        <v>11853.324053463148</v>
      </c>
      <c r="F25" s="21">
        <v>2896.321622627217</v>
      </c>
      <c r="G25" s="21">
        <v>962.19087313764192</v>
      </c>
      <c r="H25" s="21">
        <v>5542.2033296239006</v>
      </c>
      <c r="I25" s="21">
        <v>-1695.7354561927239</v>
      </c>
      <c r="J25" s="21">
        <v>14294.834828712217</v>
      </c>
      <c r="K25" s="23">
        <v>41939.87747391672</v>
      </c>
      <c r="L25" s="23">
        <v>76513.999999999985</v>
      </c>
    </row>
    <row r="26" spans="1:12">
      <c r="A26" s="10">
        <v>21</v>
      </c>
      <c r="B26" s="10" t="s">
        <v>111</v>
      </c>
      <c r="C26" s="12" t="s">
        <v>112</v>
      </c>
      <c r="D26" s="55">
        <v>290.11890161579811</v>
      </c>
      <c r="E26" s="21">
        <v>14634.198058543869</v>
      </c>
      <c r="F26" s="21">
        <v>6198.7084449042322</v>
      </c>
      <c r="G26" s="21">
        <v>208732.32455379251</v>
      </c>
      <c r="H26" s="21">
        <v>300801.34808436962</v>
      </c>
      <c r="I26" s="21">
        <v>-16.549629376899542</v>
      </c>
      <c r="J26" s="21">
        <v>3352.4411614997002</v>
      </c>
      <c r="K26" s="23">
        <v>9225.4104246508941</v>
      </c>
      <c r="L26" s="23">
        <v>543217.99999999965</v>
      </c>
    </row>
    <row r="27" spans="1:12">
      <c r="A27" s="10">
        <v>22</v>
      </c>
      <c r="B27" s="10" t="s">
        <v>113</v>
      </c>
      <c r="C27" s="12" t="s">
        <v>188</v>
      </c>
      <c r="D27" s="55">
        <v>1128.8938022509815</v>
      </c>
      <c r="E27" s="21">
        <v>49997.320312789227</v>
      </c>
      <c r="F27" s="21">
        <v>10674.843644118118</v>
      </c>
      <c r="G27" s="21">
        <v>1567.8396497024482</v>
      </c>
      <c r="H27" s="21">
        <v>5635.9406451994346</v>
      </c>
      <c r="I27" s="21">
        <v>-91.126332482824466</v>
      </c>
      <c r="J27" s="21">
        <v>11671.963288425037</v>
      </c>
      <c r="K27" s="23">
        <v>66455.324989997534</v>
      </c>
      <c r="L27" s="23">
        <v>147040.99999999994</v>
      </c>
    </row>
    <row r="28" spans="1:12">
      <c r="A28" s="10">
        <v>23</v>
      </c>
      <c r="B28" s="10" t="s">
        <v>115</v>
      </c>
      <c r="C28" s="12" t="s">
        <v>0</v>
      </c>
      <c r="D28" s="55">
        <v>384.55888787076429</v>
      </c>
      <c r="E28" s="21">
        <v>28919.872003587938</v>
      </c>
      <c r="F28" s="21">
        <v>4482.0153179528579</v>
      </c>
      <c r="G28" s="21">
        <v>507.89210005207275</v>
      </c>
      <c r="H28" s="21">
        <v>2117.1353789157829</v>
      </c>
      <c r="I28" s="21">
        <v>-1.0368420580656379</v>
      </c>
      <c r="J28" s="21">
        <v>1219.7307125130433</v>
      </c>
      <c r="K28" s="23">
        <v>3580.832441165594</v>
      </c>
      <c r="L28" s="23">
        <v>41210.999999999993</v>
      </c>
    </row>
    <row r="29" spans="1:12">
      <c r="A29" s="10">
        <v>24</v>
      </c>
      <c r="B29" s="10" t="s">
        <v>116</v>
      </c>
      <c r="C29" s="12" t="s">
        <v>1</v>
      </c>
      <c r="D29" s="55">
        <v>1041.9099793096191</v>
      </c>
      <c r="E29" s="21">
        <v>15318.248530317262</v>
      </c>
      <c r="F29" s="21">
        <v>25951.394171218752</v>
      </c>
      <c r="G29" s="21">
        <v>1272.6351319684047</v>
      </c>
      <c r="H29" s="21">
        <v>3817.0671275031095</v>
      </c>
      <c r="I29" s="21">
        <v>-5.9732844758701633</v>
      </c>
      <c r="J29" s="21">
        <v>1857.9631818435339</v>
      </c>
      <c r="K29" s="23">
        <v>14009.755162315167</v>
      </c>
      <c r="L29" s="23">
        <v>63262.999999999978</v>
      </c>
    </row>
    <row r="30" spans="1:12">
      <c r="A30" s="10">
        <v>25</v>
      </c>
      <c r="B30" s="10" t="s">
        <v>117</v>
      </c>
      <c r="C30" s="12" t="s">
        <v>67</v>
      </c>
      <c r="D30" s="55">
        <v>13342.38623998432</v>
      </c>
      <c r="E30" s="21">
        <v>306476.17926346377</v>
      </c>
      <c r="F30" s="21">
        <v>26836.94217448746</v>
      </c>
      <c r="G30" s="21">
        <v>16451.701391791725</v>
      </c>
      <c r="H30" s="21">
        <v>84867.0202455736</v>
      </c>
      <c r="I30" s="21">
        <v>971.9137828327863</v>
      </c>
      <c r="J30" s="21">
        <v>52947.481528537814</v>
      </c>
      <c r="K30" s="23">
        <v>282387.37537332834</v>
      </c>
      <c r="L30" s="23">
        <v>784280.99999999988</v>
      </c>
    </row>
    <row r="31" spans="1:12">
      <c r="A31" s="10">
        <v>26</v>
      </c>
      <c r="B31" s="10" t="s">
        <v>118</v>
      </c>
      <c r="C31" s="12" t="s">
        <v>68</v>
      </c>
      <c r="D31" s="55">
        <v>1281.5918182114406</v>
      </c>
      <c r="E31" s="21">
        <v>200894.27105472234</v>
      </c>
      <c r="F31" s="21">
        <v>16493.920569412025</v>
      </c>
      <c r="G31" s="21">
        <v>4906.4661891021997</v>
      </c>
      <c r="H31" s="21">
        <v>13021.372515740195</v>
      </c>
      <c r="I31" s="21">
        <v>-77.730714464278464</v>
      </c>
      <c r="J31" s="21">
        <v>28471.11525802852</v>
      </c>
      <c r="K31" s="23">
        <v>40398.993309247511</v>
      </c>
      <c r="L31" s="23">
        <v>305389.99999999994</v>
      </c>
    </row>
    <row r="32" spans="1:12">
      <c r="A32" s="10">
        <v>27</v>
      </c>
      <c r="B32" s="10" t="s">
        <v>119</v>
      </c>
      <c r="C32" s="12" t="s">
        <v>120</v>
      </c>
      <c r="D32" s="55">
        <v>2894.2904976014192</v>
      </c>
      <c r="E32" s="21">
        <v>937221.15996811818</v>
      </c>
      <c r="F32" s="21">
        <v>23089.274503012603</v>
      </c>
      <c r="G32" s="21">
        <v>4683.4794069592435</v>
      </c>
      <c r="H32" s="21">
        <v>37185.763831937555</v>
      </c>
      <c r="I32" s="21">
        <v>-2.1674747695931136</v>
      </c>
      <c r="J32" s="21">
        <v>10073.082862493229</v>
      </c>
      <c r="K32" s="23">
        <v>38796.116404647575</v>
      </c>
      <c r="L32" s="23">
        <v>1053941.0000000002</v>
      </c>
    </row>
    <row r="33" spans="1:12">
      <c r="A33" s="10">
        <v>28</v>
      </c>
      <c r="B33" s="10" t="s">
        <v>121</v>
      </c>
      <c r="C33" s="12" t="s">
        <v>189</v>
      </c>
      <c r="D33" s="55">
        <v>4137.2299091927971</v>
      </c>
      <c r="E33" s="21">
        <v>79553.271302730544</v>
      </c>
      <c r="F33" s="21">
        <v>23391.341621883344</v>
      </c>
      <c r="G33" s="21">
        <v>11228.303821639785</v>
      </c>
      <c r="H33" s="21">
        <v>28044.631820836014</v>
      </c>
      <c r="I33" s="21">
        <v>161.82774335321886</v>
      </c>
      <c r="J33" s="21">
        <v>23864.659797961685</v>
      </c>
      <c r="K33" s="23">
        <v>98978.733982402628</v>
      </c>
      <c r="L33" s="23">
        <v>269360</v>
      </c>
    </row>
    <row r="34" spans="1:12">
      <c r="A34" s="10">
        <v>29</v>
      </c>
      <c r="B34" s="10" t="s">
        <v>123</v>
      </c>
      <c r="C34" s="12" t="s">
        <v>190</v>
      </c>
      <c r="D34" s="55">
        <v>1685.0503245772284</v>
      </c>
      <c r="E34" s="21">
        <v>92312.452680264309</v>
      </c>
      <c r="F34" s="21">
        <v>14194.582831212687</v>
      </c>
      <c r="G34" s="21">
        <v>10137.093184624673</v>
      </c>
      <c r="H34" s="21">
        <v>57376.283899047427</v>
      </c>
      <c r="I34" s="21">
        <v>-169.10779795546628</v>
      </c>
      <c r="J34" s="21">
        <v>11038.96671008365</v>
      </c>
      <c r="K34" s="23">
        <v>61098.678168145474</v>
      </c>
      <c r="L34" s="23">
        <v>247673.99999999997</v>
      </c>
    </row>
    <row r="35" spans="1:12">
      <c r="A35" s="10">
        <v>30</v>
      </c>
      <c r="B35" s="10" t="s">
        <v>125</v>
      </c>
      <c r="C35" s="12" t="s">
        <v>69</v>
      </c>
      <c r="D35" s="55">
        <v>31.59445429557082</v>
      </c>
      <c r="E35" s="21">
        <v>15899.321163588325</v>
      </c>
      <c r="F35" s="21">
        <v>436843.00205286808</v>
      </c>
      <c r="G35" s="21">
        <v>331.9909310765691</v>
      </c>
      <c r="H35" s="21">
        <v>634.5809208909036</v>
      </c>
      <c r="I35" s="21">
        <v>-2.2543229269221312</v>
      </c>
      <c r="J35" s="21">
        <v>2127.7028287417484</v>
      </c>
      <c r="K35" s="23">
        <v>860.06197146576812</v>
      </c>
      <c r="L35" s="23">
        <v>456726.00000000017</v>
      </c>
    </row>
    <row r="36" spans="1:12">
      <c r="A36" s="10">
        <v>31</v>
      </c>
      <c r="B36" s="10" t="s">
        <v>126</v>
      </c>
      <c r="C36" s="12" t="s">
        <v>127</v>
      </c>
      <c r="D36" s="55">
        <v>35.519351166287038</v>
      </c>
      <c r="E36" s="21">
        <v>35762.878778547791</v>
      </c>
      <c r="F36" s="21">
        <v>171375.8854164962</v>
      </c>
      <c r="G36" s="21">
        <v>22920.53857849419</v>
      </c>
      <c r="H36" s="21">
        <v>203943.70433075557</v>
      </c>
      <c r="I36" s="21">
        <v>-3.9072196374502477</v>
      </c>
      <c r="J36" s="21">
        <v>8369.5669013300885</v>
      </c>
      <c r="K36" s="23">
        <v>5896.8138628473216</v>
      </c>
      <c r="L36" s="23">
        <v>448301</v>
      </c>
    </row>
    <row r="37" spans="1:12">
      <c r="A37" s="10">
        <v>32</v>
      </c>
      <c r="B37" s="10" t="s">
        <v>128</v>
      </c>
      <c r="C37" s="12" t="s">
        <v>191</v>
      </c>
      <c r="D37" s="55">
        <v>5751.2367039567325</v>
      </c>
      <c r="E37" s="21">
        <v>140518.9662159592</v>
      </c>
      <c r="F37" s="21">
        <v>584292.92800003884</v>
      </c>
      <c r="G37" s="21">
        <v>6.0028479667203536</v>
      </c>
      <c r="H37" s="21">
        <v>23.990426694889415</v>
      </c>
      <c r="I37" s="21">
        <v>3.2603072388854427E-3</v>
      </c>
      <c r="J37" s="21">
        <v>22.124156686126852</v>
      </c>
      <c r="K37" s="23">
        <v>3908.7483883902546</v>
      </c>
      <c r="L37" s="23">
        <v>734523.99999999988</v>
      </c>
    </row>
    <row r="38" spans="1:12">
      <c r="A38" s="10">
        <v>33</v>
      </c>
      <c r="B38" s="10" t="s">
        <v>130</v>
      </c>
      <c r="C38" s="12" t="s">
        <v>192</v>
      </c>
      <c r="D38" s="55">
        <v>253.69543306146772</v>
      </c>
      <c r="E38" s="21">
        <v>61916.160323221142</v>
      </c>
      <c r="F38" s="21">
        <v>2478.7799152814614</v>
      </c>
      <c r="G38" s="21">
        <v>794.47137899725624</v>
      </c>
      <c r="H38" s="21">
        <v>2278.2469324935614</v>
      </c>
      <c r="I38" s="21">
        <v>-6.6505564148788556</v>
      </c>
      <c r="J38" s="21">
        <v>2086.5128858815096</v>
      </c>
      <c r="K38" s="23">
        <v>6132.7836874784616</v>
      </c>
      <c r="L38" s="23">
        <v>75933.999999999985</v>
      </c>
    </row>
    <row r="39" spans="1:12">
      <c r="A39" s="10">
        <v>34</v>
      </c>
      <c r="B39" s="10" t="s">
        <v>131</v>
      </c>
      <c r="C39" s="12" t="s">
        <v>132</v>
      </c>
      <c r="D39" s="55">
        <v>3824.4955459606708</v>
      </c>
      <c r="E39" s="21">
        <v>127358.3549563363</v>
      </c>
      <c r="F39" s="21">
        <v>63327.997131036871</v>
      </c>
      <c r="G39" s="21">
        <v>27516.396795563909</v>
      </c>
      <c r="H39" s="21">
        <v>72368.713243815626</v>
      </c>
      <c r="I39" s="21">
        <v>-161.93572520343463</v>
      </c>
      <c r="J39" s="21">
        <v>58519.609349733946</v>
      </c>
      <c r="K39" s="23">
        <v>167420.36870275604</v>
      </c>
      <c r="L39" s="23">
        <v>520174</v>
      </c>
    </row>
    <row r="40" spans="1:12">
      <c r="A40" s="10">
        <v>35</v>
      </c>
      <c r="B40" s="10" t="s">
        <v>133</v>
      </c>
      <c r="C40" s="12" t="s">
        <v>193</v>
      </c>
      <c r="D40" s="55">
        <v>30461.917872839149</v>
      </c>
      <c r="E40" s="21">
        <v>190785.53338223809</v>
      </c>
      <c r="F40" s="21">
        <v>11753.879451947731</v>
      </c>
      <c r="G40" s="21">
        <v>368.02791342799316</v>
      </c>
      <c r="H40" s="21">
        <v>3302.6886146868537</v>
      </c>
      <c r="I40" s="21">
        <v>-1.9550002361253245</v>
      </c>
      <c r="J40" s="21">
        <v>9323.8669819133356</v>
      </c>
      <c r="K40" s="23">
        <v>70041.040783182863</v>
      </c>
      <c r="L40" s="23">
        <v>316034.99999999994</v>
      </c>
    </row>
    <row r="41" spans="1:12">
      <c r="A41" s="10">
        <v>36</v>
      </c>
      <c r="B41" s="10" t="s">
        <v>135</v>
      </c>
      <c r="C41" s="12" t="s">
        <v>194</v>
      </c>
      <c r="D41" s="55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3">
        <v>0</v>
      </c>
      <c r="L41" s="23">
        <v>0</v>
      </c>
    </row>
    <row r="42" spans="1:12">
      <c r="A42" s="58">
        <v>37</v>
      </c>
      <c r="B42" s="10" t="s">
        <v>136</v>
      </c>
      <c r="C42" s="12" t="s">
        <v>195</v>
      </c>
      <c r="D42" s="55">
        <v>277.57786642505067</v>
      </c>
      <c r="E42" s="21">
        <v>7063.678066381879</v>
      </c>
      <c r="F42" s="21">
        <v>2883.1258165302247</v>
      </c>
      <c r="G42" s="21">
        <v>2916.7566389528984</v>
      </c>
      <c r="H42" s="21">
        <v>5575.2068526670027</v>
      </c>
      <c r="I42" s="21">
        <v>-19.805695722234503</v>
      </c>
      <c r="J42" s="21">
        <v>18693.255660107265</v>
      </c>
      <c r="K42" s="23">
        <v>7556.2047946578577</v>
      </c>
      <c r="L42" s="23">
        <v>44945.999999999942</v>
      </c>
    </row>
    <row r="43" spans="1:12">
      <c r="A43" s="6"/>
      <c r="B43" s="17"/>
      <c r="C43" s="13" t="s">
        <v>35</v>
      </c>
      <c r="D43" s="56">
        <v>70211.058444941547</v>
      </c>
      <c r="E43" s="24">
        <v>2385537.4563480578</v>
      </c>
      <c r="F43" s="24">
        <v>1435748.9251849675</v>
      </c>
      <c r="G43" s="24">
        <v>331451.22249992547</v>
      </c>
      <c r="H43" s="24">
        <v>883024.00168529502</v>
      </c>
      <c r="I43" s="24">
        <v>-4355.1984222679248</v>
      </c>
      <c r="J43" s="24">
        <v>728883.43994234502</v>
      </c>
      <c r="K43" s="26">
        <v>2185685.0943167354</v>
      </c>
      <c r="L43" s="26">
        <v>8016186.0000000009</v>
      </c>
    </row>
    <row r="45" spans="1:12">
      <c r="A45" s="1" t="s">
        <v>172</v>
      </c>
    </row>
    <row r="46" spans="1:12">
      <c r="A46" s="2"/>
      <c r="B46" s="4"/>
      <c r="C46" s="4"/>
      <c r="D46" s="11">
        <v>1</v>
      </c>
      <c r="E46" s="17">
        <v>2</v>
      </c>
      <c r="F46" s="17">
        <v>3</v>
      </c>
      <c r="G46" s="17">
        <v>4</v>
      </c>
      <c r="H46" s="17">
        <v>5</v>
      </c>
      <c r="I46" s="17">
        <v>6</v>
      </c>
      <c r="J46" s="17">
        <v>7</v>
      </c>
      <c r="K46" s="17">
        <v>8</v>
      </c>
      <c r="L46" s="20">
        <v>9</v>
      </c>
    </row>
    <row r="47" spans="1:12">
      <c r="A47" s="10"/>
      <c r="B47" s="16"/>
      <c r="C47" s="18"/>
      <c r="D47" s="2" t="s">
        <v>138</v>
      </c>
      <c r="E47" s="4" t="s">
        <v>146</v>
      </c>
      <c r="F47" s="4" t="s">
        <v>147</v>
      </c>
      <c r="G47" s="4" t="s">
        <v>148</v>
      </c>
      <c r="H47" s="4" t="s">
        <v>149</v>
      </c>
      <c r="I47" s="4" t="s">
        <v>150</v>
      </c>
      <c r="J47" s="4" t="s">
        <v>154</v>
      </c>
      <c r="K47" s="3" t="s">
        <v>155</v>
      </c>
      <c r="L47" s="5"/>
    </row>
    <row r="48" spans="1:12" ht="48" customHeight="1">
      <c r="A48" s="6"/>
      <c r="B48" s="15"/>
      <c r="C48" s="69" t="s">
        <v>225</v>
      </c>
      <c r="D48" s="53" t="s">
        <v>6</v>
      </c>
      <c r="E48" s="7" t="s">
        <v>70</v>
      </c>
      <c r="F48" s="7" t="s">
        <v>7</v>
      </c>
      <c r="G48" s="7" t="s">
        <v>8</v>
      </c>
      <c r="H48" s="7" t="s">
        <v>9</v>
      </c>
      <c r="I48" s="7" t="s">
        <v>10</v>
      </c>
      <c r="J48" s="7" t="s">
        <v>12</v>
      </c>
      <c r="K48" s="9" t="s">
        <v>13</v>
      </c>
      <c r="L48" s="8" t="s">
        <v>170</v>
      </c>
    </row>
    <row r="49" spans="1:21" ht="14.4">
      <c r="A49" s="10">
        <v>1</v>
      </c>
      <c r="B49" s="10" t="s">
        <v>75</v>
      </c>
      <c r="C49" s="12" t="s">
        <v>179</v>
      </c>
      <c r="D49" s="59">
        <v>4.5889770821906182E-3</v>
      </c>
      <c r="E49" s="59">
        <v>4.219664089905286E-3</v>
      </c>
      <c r="F49" s="59">
        <v>4.4700891161246134E-4</v>
      </c>
      <c r="G49" s="59">
        <v>2.9961456750941026E-4</v>
      </c>
      <c r="H49" s="59">
        <v>6.3554178769796804E-4</v>
      </c>
      <c r="I49" s="59">
        <v>-1.8208009284999827E-2</v>
      </c>
      <c r="J49" s="59">
        <v>1.2440296696524622E-3</v>
      </c>
      <c r="K49" s="59">
        <v>3.795255455163709E-2</v>
      </c>
      <c r="L49" s="37">
        <v>1.2071347969436324E-2</v>
      </c>
      <c r="M49"/>
      <c r="N49"/>
      <c r="O49"/>
      <c r="P49"/>
      <c r="Q49"/>
      <c r="R49"/>
      <c r="S49"/>
      <c r="T49"/>
      <c r="U49"/>
    </row>
    <row r="50" spans="1:21">
      <c r="A50" s="10">
        <v>2</v>
      </c>
      <c r="B50" s="10" t="s">
        <v>77</v>
      </c>
      <c r="C50" s="12" t="s">
        <v>180</v>
      </c>
      <c r="D50" s="59">
        <v>1.7730550568010224E-5</v>
      </c>
      <c r="E50" s="59">
        <v>7.5480407696226526E-5</v>
      </c>
      <c r="F50" s="59">
        <v>3.7719422396665072E-5</v>
      </c>
      <c r="G50" s="59">
        <v>1.6981798224302336E-4</v>
      </c>
      <c r="H50" s="59">
        <v>8.289769178390085E-5</v>
      </c>
      <c r="I50" s="59">
        <v>-5.3791706396598112E-4</v>
      </c>
      <c r="J50" s="59">
        <v>1.6378483272682528E-4</v>
      </c>
      <c r="K50" s="59">
        <v>2.0433057301923643E-4</v>
      </c>
      <c r="L50" s="31">
        <v>1.2059643021797524E-4</v>
      </c>
    </row>
    <row r="51" spans="1:21">
      <c r="A51" s="10">
        <v>3</v>
      </c>
      <c r="B51" s="10" t="s">
        <v>79</v>
      </c>
      <c r="C51" s="12" t="s">
        <v>181</v>
      </c>
      <c r="D51" s="59">
        <v>9.0832018088747683E-3</v>
      </c>
      <c r="E51" s="59">
        <v>7.2206180710320655E-3</v>
      </c>
      <c r="F51" s="59">
        <v>4.2730090826888722E-4</v>
      </c>
      <c r="G51" s="59">
        <v>4.0868235095341614E-5</v>
      </c>
      <c r="H51" s="59">
        <v>9.7986885754672672E-5</v>
      </c>
      <c r="I51" s="59">
        <v>3.420590883117709E-3</v>
      </c>
      <c r="J51" s="59">
        <v>2.3709771098302727E-3</v>
      </c>
      <c r="K51" s="59">
        <v>4.9061686337846619E-2</v>
      </c>
      <c r="L51" s="31">
        <v>1.6020100729232437E-2</v>
      </c>
    </row>
    <row r="52" spans="1:21">
      <c r="A52" s="10">
        <v>4</v>
      </c>
      <c r="B52" s="10" t="s">
        <v>81</v>
      </c>
      <c r="C52" s="12" t="s">
        <v>82</v>
      </c>
      <c r="D52" s="59">
        <v>2.463786437496571E-4</v>
      </c>
      <c r="E52" s="59">
        <v>2.3260515551558634E-4</v>
      </c>
      <c r="F52" s="59">
        <v>6.115922978147186E-5</v>
      </c>
      <c r="G52" s="59">
        <v>5.0573983698735633E-5</v>
      </c>
      <c r="H52" s="59">
        <v>5.0424482081559449E-5</v>
      </c>
      <c r="I52" s="59">
        <v>4.900091984501449E-4</v>
      </c>
      <c r="J52" s="59">
        <v>4.6085995043747334E-4</v>
      </c>
      <c r="K52" s="59">
        <v>1.0670538279851632E-3</v>
      </c>
      <c r="L52" s="31">
        <v>4.2584727682264996E-4</v>
      </c>
    </row>
    <row r="53" spans="1:21">
      <c r="A53" s="10">
        <v>5</v>
      </c>
      <c r="B53" s="10" t="s">
        <v>83</v>
      </c>
      <c r="C53" s="12" t="s">
        <v>84</v>
      </c>
      <c r="D53" s="59">
        <v>2.0362600680165445E-3</v>
      </c>
      <c r="E53" s="59">
        <v>8.9987764855644758E-4</v>
      </c>
      <c r="F53" s="59">
        <v>9.3434351940900162E-4</v>
      </c>
      <c r="G53" s="59">
        <v>4.3882253814806014E-3</v>
      </c>
      <c r="H53" s="59">
        <v>2.5327382245359676E-3</v>
      </c>
      <c r="I53" s="59">
        <v>6.1208651373615116E-3</v>
      </c>
      <c r="J53" s="59">
        <v>1.2326167008193199E-3</v>
      </c>
      <c r="K53" s="59">
        <v>8.7098290098268465E-3</v>
      </c>
      <c r="L53" s="31">
        <v>3.4427443264167979E-3</v>
      </c>
    </row>
    <row r="54" spans="1:21">
      <c r="A54" s="10">
        <v>6</v>
      </c>
      <c r="B54" s="10" t="s">
        <v>85</v>
      </c>
      <c r="C54" s="12" t="s">
        <v>86</v>
      </c>
      <c r="D54" s="59">
        <v>3.2606520924881674E-4</v>
      </c>
      <c r="E54" s="59">
        <v>1.768373472988352E-4</v>
      </c>
      <c r="F54" s="59">
        <v>6.7524894386555986E-4</v>
      </c>
      <c r="G54" s="59">
        <v>5.8178469122187546E-5</v>
      </c>
      <c r="H54" s="59">
        <v>4.3973468276814793E-5</v>
      </c>
      <c r="I54" s="59">
        <v>-4.346835873296947E-4</v>
      </c>
      <c r="J54" s="59">
        <v>7.2645307000910918E-3</v>
      </c>
      <c r="K54" s="59">
        <v>1.0806830182667147E-2</v>
      </c>
      <c r="L54" s="31">
        <v>3.8185795542372844E-3</v>
      </c>
    </row>
    <row r="55" spans="1:21">
      <c r="A55" s="10">
        <v>7</v>
      </c>
      <c r="B55" s="10" t="s">
        <v>87</v>
      </c>
      <c r="C55" s="12" t="s">
        <v>88</v>
      </c>
      <c r="D55" s="59">
        <v>2.1144209073775726E-4</v>
      </c>
      <c r="E55" s="59">
        <v>4.9585603002905881E-4</v>
      </c>
      <c r="F55" s="59">
        <v>1.3179627310694623E-4</v>
      </c>
      <c r="G55" s="59">
        <v>2.6019799850882623E-4</v>
      </c>
      <c r="H55" s="59">
        <v>1.5315703882002303E-4</v>
      </c>
      <c r="I55" s="59">
        <v>-9.9046672320495121E-5</v>
      </c>
      <c r="J55" s="59">
        <v>1.372412719856319E-4</v>
      </c>
      <c r="K55" s="59">
        <v>1.9255657250587474E-4</v>
      </c>
      <c r="L55" s="31">
        <v>2.6992318645846844E-4</v>
      </c>
    </row>
    <row r="56" spans="1:21">
      <c r="A56" s="10">
        <v>8</v>
      </c>
      <c r="B56" s="10" t="s">
        <v>89</v>
      </c>
      <c r="C56" s="12" t="s">
        <v>182</v>
      </c>
      <c r="D56" s="59">
        <v>3.5310221480798628E-4</v>
      </c>
      <c r="E56" s="59">
        <v>3.3901144794934489E-4</v>
      </c>
      <c r="F56" s="59">
        <v>2.0600994797337132E-4</v>
      </c>
      <c r="G56" s="59">
        <v>6.0853415764489994E-4</v>
      </c>
      <c r="H56" s="59">
        <v>3.8373691215853406E-4</v>
      </c>
      <c r="I56" s="59">
        <v>1.6547935742390544E-3</v>
      </c>
      <c r="J56" s="59">
        <v>1.0744927426093679E-2</v>
      </c>
      <c r="K56" s="59">
        <v>1.6972048678588508E-2</v>
      </c>
      <c r="L56" s="31">
        <v>5.890639042611891E-3</v>
      </c>
    </row>
    <row r="57" spans="1:21">
      <c r="A57" s="10">
        <v>9</v>
      </c>
      <c r="B57" s="10" t="s">
        <v>91</v>
      </c>
      <c r="C57" s="12" t="s">
        <v>92</v>
      </c>
      <c r="D57" s="59">
        <v>3.3855584492818291E-4</v>
      </c>
      <c r="E57" s="59">
        <v>1.9891836610875846E-4</v>
      </c>
      <c r="F57" s="59">
        <v>2.2065838246802314E-4</v>
      </c>
      <c r="G57" s="59">
        <v>6.3254099525911697E-3</v>
      </c>
      <c r="H57" s="59">
        <v>2.8598831809627219E-3</v>
      </c>
      <c r="I57" s="59">
        <v>2.2227823892369908E-2</v>
      </c>
      <c r="J57" s="59">
        <v>1.4007997730923951E-2</v>
      </c>
      <c r="K57" s="59">
        <v>8.7738242452805922E-3</v>
      </c>
      <c r="L57" s="31">
        <v>4.4326991403531787E-3</v>
      </c>
    </row>
    <row r="58" spans="1:21">
      <c r="A58" s="10">
        <v>10</v>
      </c>
      <c r="B58" s="10" t="s">
        <v>93</v>
      </c>
      <c r="C58" s="12" t="s">
        <v>94</v>
      </c>
      <c r="D58" s="59">
        <v>1.5311661613458467E-5</v>
      </c>
      <c r="E58" s="59">
        <v>1.1031374158172808E-5</v>
      </c>
      <c r="F58" s="59">
        <v>9.1887337674187206E-6</v>
      </c>
      <c r="G58" s="59">
        <v>4.1091800095209655E-4</v>
      </c>
      <c r="H58" s="59">
        <v>2.1707230902883788E-4</v>
      </c>
      <c r="I58" s="59">
        <v>1.0493737763009622E-3</v>
      </c>
      <c r="J58" s="59">
        <v>2.5237189222167022E-3</v>
      </c>
      <c r="K58" s="59">
        <v>2.3536115702632756E-3</v>
      </c>
      <c r="L58" s="31">
        <v>9.3611205479788282E-4</v>
      </c>
    </row>
    <row r="59" spans="1:21">
      <c r="A59" s="10">
        <v>11</v>
      </c>
      <c r="B59" s="10" t="s">
        <v>95</v>
      </c>
      <c r="C59" s="12" t="s">
        <v>96</v>
      </c>
      <c r="D59" s="59">
        <v>1.0035973681972612E-5</v>
      </c>
      <c r="E59" s="59">
        <v>1.4580787529697165E-5</v>
      </c>
      <c r="F59" s="59">
        <v>1.2528354823174783E-5</v>
      </c>
      <c r="G59" s="59">
        <v>9.0305326744504442E-5</v>
      </c>
      <c r="H59" s="59">
        <v>3.9636937017711575E-5</v>
      </c>
      <c r="I59" s="59">
        <v>3.8542618415379591E-4</v>
      </c>
      <c r="J59" s="59">
        <v>2.8145018359556303E-3</v>
      </c>
      <c r="K59" s="59">
        <v>3.7527326843549628E-3</v>
      </c>
      <c r="L59" s="31">
        <v>1.3128694906141571E-3</v>
      </c>
    </row>
    <row r="60" spans="1:21">
      <c r="A60" s="10">
        <v>12</v>
      </c>
      <c r="B60" s="10" t="s">
        <v>97</v>
      </c>
      <c r="C60" s="12" t="s">
        <v>98</v>
      </c>
      <c r="D60" s="59">
        <v>8.5470637805853662E-4</v>
      </c>
      <c r="E60" s="59">
        <v>4.5002029393567227E-4</v>
      </c>
      <c r="F60" s="59">
        <v>3.0217527890864316E-4</v>
      </c>
      <c r="G60" s="59">
        <v>9.0186564748070859E-3</v>
      </c>
      <c r="H60" s="59">
        <v>4.5940591081965795E-3</v>
      </c>
      <c r="I60" s="59">
        <v>1.2812741850678124E-2</v>
      </c>
      <c r="J60" s="59">
        <v>7.1925121415234126E-3</v>
      </c>
      <c r="K60" s="59">
        <v>2.7933385332634952E-2</v>
      </c>
      <c r="L60" s="31">
        <v>9.5034952747126457E-3</v>
      </c>
    </row>
    <row r="61" spans="1:21">
      <c r="A61" s="10">
        <v>13</v>
      </c>
      <c r="B61" s="10" t="s">
        <v>99</v>
      </c>
      <c r="C61" s="12" t="s">
        <v>183</v>
      </c>
      <c r="D61" s="59">
        <v>2.7670792107071311E-5</v>
      </c>
      <c r="E61" s="59">
        <v>3.9115978944511331E-5</v>
      </c>
      <c r="F61" s="59">
        <v>3.3793269710429575E-5</v>
      </c>
      <c r="G61" s="59">
        <v>8.4974559962892199E-4</v>
      </c>
      <c r="H61" s="59">
        <v>2.5435139414706903E-3</v>
      </c>
      <c r="I61" s="59">
        <v>6.3244270854192737E-3</v>
      </c>
      <c r="J61" s="59">
        <v>2.6457803387041578E-2</v>
      </c>
      <c r="K61" s="59">
        <v>2.5964051365365132E-2</v>
      </c>
      <c r="L61" s="31">
        <v>1.0042277561480592E-2</v>
      </c>
    </row>
    <row r="62" spans="1:21">
      <c r="A62" s="10">
        <v>14</v>
      </c>
      <c r="B62" s="10" t="s">
        <v>100</v>
      </c>
      <c r="C62" s="12" t="s">
        <v>184</v>
      </c>
      <c r="D62" s="59">
        <v>5.1473802553530766E-5</v>
      </c>
      <c r="E62" s="59">
        <v>5.9512919008583414E-5</v>
      </c>
      <c r="F62" s="59">
        <v>6.1612669246121756E-5</v>
      </c>
      <c r="G62" s="59">
        <v>2.6816957804461826E-4</v>
      </c>
      <c r="H62" s="59">
        <v>8.2466622109751558E-3</v>
      </c>
      <c r="I62" s="59">
        <v>1.6312026680266035E-2</v>
      </c>
      <c r="J62" s="59">
        <v>9.8314723692738762E-2</v>
      </c>
      <c r="K62" s="59">
        <v>3.5009913747039628E-2</v>
      </c>
      <c r="L62" s="31">
        <v>2.0182167292361157E-2</v>
      </c>
    </row>
    <row r="63" spans="1:21">
      <c r="A63" s="10">
        <v>15</v>
      </c>
      <c r="B63" s="10" t="s">
        <v>101</v>
      </c>
      <c r="C63" s="12" t="s">
        <v>185</v>
      </c>
      <c r="D63" s="59">
        <v>1.8749983000539838E-4</v>
      </c>
      <c r="E63" s="59">
        <v>1.4184036216642436E-4</v>
      </c>
      <c r="F63" s="59">
        <v>7.4130850412639773E-4</v>
      </c>
      <c r="G63" s="59">
        <v>1.8248359227851132E-3</v>
      </c>
      <c r="H63" s="59">
        <v>3.0810924786051084E-3</v>
      </c>
      <c r="I63" s="59">
        <v>7.6660986792836065E-3</v>
      </c>
      <c r="J63" s="59">
        <v>1.5667171307922539E-2</v>
      </c>
      <c r="K63" s="59">
        <v>1.3968610263862622E-2</v>
      </c>
      <c r="L63" s="31">
        <v>5.9596627641425419E-3</v>
      </c>
    </row>
    <row r="64" spans="1:21">
      <c r="A64" s="10">
        <v>16</v>
      </c>
      <c r="B64" s="10" t="s">
        <v>102</v>
      </c>
      <c r="C64" s="12" t="s">
        <v>186</v>
      </c>
      <c r="D64" s="59">
        <v>2.2175010576795499E-5</v>
      </c>
      <c r="E64" s="59">
        <v>3.434766582939512E-5</v>
      </c>
      <c r="F64" s="59">
        <v>3.020770337815749E-5</v>
      </c>
      <c r="G64" s="59">
        <v>7.0318914445581594E-5</v>
      </c>
      <c r="H64" s="59">
        <v>7.9093246653947656E-5</v>
      </c>
      <c r="I64" s="59">
        <v>-5.5289420085962034E-4</v>
      </c>
      <c r="J64" s="59">
        <v>0.11065923203046502</v>
      </c>
      <c r="K64" s="59">
        <v>1.5311053076069867E-2</v>
      </c>
      <c r="L64" s="31">
        <v>1.4874647459391458E-2</v>
      </c>
    </row>
    <row r="65" spans="1:12">
      <c r="A65" s="10">
        <v>17</v>
      </c>
      <c r="B65" s="10" t="s">
        <v>104</v>
      </c>
      <c r="C65" s="12" t="s">
        <v>105</v>
      </c>
      <c r="D65" s="59">
        <v>1.7207271586612024E-4</v>
      </c>
      <c r="E65" s="59">
        <v>4.1738361137758518E-4</v>
      </c>
      <c r="F65" s="59">
        <v>2.1443118283381311E-5</v>
      </c>
      <c r="G65" s="59">
        <v>4.7619814275752878E-4</v>
      </c>
      <c r="H65" s="59">
        <v>9.2166227437517803E-4</v>
      </c>
      <c r="I65" s="59">
        <v>1.3133275871092661E-3</v>
      </c>
      <c r="J65" s="59">
        <v>1.6663321829967843E-2</v>
      </c>
      <c r="K65" s="59">
        <v>1.9176532913008165E-2</v>
      </c>
      <c r="L65" s="31">
        <v>7.1313634923250661E-3</v>
      </c>
    </row>
    <row r="66" spans="1:12">
      <c r="A66" s="10">
        <v>18</v>
      </c>
      <c r="B66" s="10" t="s">
        <v>106</v>
      </c>
      <c r="C66" s="12" t="s">
        <v>187</v>
      </c>
      <c r="D66" s="59">
        <v>1.2475732290330498E-4</v>
      </c>
      <c r="E66" s="59">
        <v>5.8401452110528229E-4</v>
      </c>
      <c r="F66" s="59">
        <v>1.467017864956858E-5</v>
      </c>
      <c r="G66" s="59">
        <v>1.5465423059810557E-3</v>
      </c>
      <c r="H66" s="59">
        <v>1.2916561212446651E-3</v>
      </c>
      <c r="I66" s="59">
        <v>6.2278426331485309E-3</v>
      </c>
      <c r="J66" s="59">
        <v>1.6211900086558807E-2</v>
      </c>
      <c r="K66" s="59">
        <v>3.0847192512900027E-2</v>
      </c>
      <c r="L66" s="31">
        <v>1.0413005175785967E-2</v>
      </c>
    </row>
    <row r="67" spans="1:12">
      <c r="A67" s="10">
        <v>19</v>
      </c>
      <c r="B67" s="10" t="s">
        <v>108</v>
      </c>
      <c r="C67" s="12" t="s">
        <v>109</v>
      </c>
      <c r="D67" s="59">
        <v>3.9952208940751243E-5</v>
      </c>
      <c r="E67" s="59">
        <v>4.5403267644768795E-4</v>
      </c>
      <c r="F67" s="59">
        <v>7.5571796954443585E-5</v>
      </c>
      <c r="G67" s="59">
        <v>5.8575558052161643E-4</v>
      </c>
      <c r="H67" s="59">
        <v>9.010453927727431E-4</v>
      </c>
      <c r="I67" s="59">
        <v>7.2577291205514686E-4</v>
      </c>
      <c r="J67" s="59">
        <v>1.2974405594817797E-2</v>
      </c>
      <c r="K67" s="59">
        <v>2.0136827303011546E-2</v>
      </c>
      <c r="L67" s="31">
        <v>7.0602825375730609E-3</v>
      </c>
    </row>
    <row r="68" spans="1:12">
      <c r="A68" s="10">
        <v>20</v>
      </c>
      <c r="B68" s="10" t="s">
        <v>110</v>
      </c>
      <c r="C68" s="12" t="s">
        <v>66</v>
      </c>
      <c r="D68" s="59">
        <v>5.0553455714697406E-3</v>
      </c>
      <c r="E68" s="59">
        <v>2.7576310411158334E-3</v>
      </c>
      <c r="F68" s="59">
        <v>1.4993640951634401E-3</v>
      </c>
      <c r="G68" s="59">
        <v>1.6293352092444601E-3</v>
      </c>
      <c r="H68" s="59">
        <v>2.8213140007401225E-3</v>
      </c>
      <c r="I68" s="59">
        <v>3.5088779692360871E-2</v>
      </c>
      <c r="J68" s="59">
        <v>1.0535814317457974E-2</v>
      </c>
      <c r="K68" s="59">
        <v>1.0863823484866945E-2</v>
      </c>
      <c r="L68" s="31">
        <v>5.4278325068812666E-3</v>
      </c>
    </row>
    <row r="69" spans="1:12">
      <c r="A69" s="10">
        <v>21</v>
      </c>
      <c r="B69" s="10" t="s">
        <v>111</v>
      </c>
      <c r="C69" s="12" t="s">
        <v>112</v>
      </c>
      <c r="D69" s="59">
        <v>2.0342376250949957E-3</v>
      </c>
      <c r="E69" s="59">
        <v>3.4045908680179074E-3</v>
      </c>
      <c r="F69" s="59">
        <v>3.2089395066025946E-3</v>
      </c>
      <c r="G69" s="59">
        <v>0.35345889801875652</v>
      </c>
      <c r="H69" s="59">
        <v>0.15312593283175802</v>
      </c>
      <c r="I69" s="59">
        <v>3.4245099792868462E-4</v>
      </c>
      <c r="J69" s="59">
        <v>2.470871332967051E-3</v>
      </c>
      <c r="K69" s="59">
        <v>2.3896882028610986E-3</v>
      </c>
      <c r="L69" s="31">
        <v>3.8535383311851773E-2</v>
      </c>
    </row>
    <row r="70" spans="1:12">
      <c r="A70" s="10">
        <v>22</v>
      </c>
      <c r="B70" s="10" t="s">
        <v>113</v>
      </c>
      <c r="C70" s="12" t="s">
        <v>188</v>
      </c>
      <c r="D70" s="59">
        <v>7.9155071747674319E-3</v>
      </c>
      <c r="E70" s="59">
        <v>1.1631687604699925E-2</v>
      </c>
      <c r="F70" s="59">
        <v>5.5261394854884908E-3</v>
      </c>
      <c r="G70" s="59">
        <v>2.6549164152633482E-3</v>
      </c>
      <c r="H70" s="59">
        <v>2.8690319181632275E-3</v>
      </c>
      <c r="I70" s="59">
        <v>1.8856194773692648E-3</v>
      </c>
      <c r="J70" s="59">
        <v>8.602662388237663E-3</v>
      </c>
      <c r="K70" s="59">
        <v>1.7214139949974856E-2</v>
      </c>
      <c r="L70" s="31">
        <v>1.0430952762165463E-2</v>
      </c>
    </row>
    <row r="71" spans="1:12">
      <c r="A71" s="10">
        <v>23</v>
      </c>
      <c r="B71" s="10" t="s">
        <v>115</v>
      </c>
      <c r="C71" s="12" t="s">
        <v>0</v>
      </c>
      <c r="D71" s="59">
        <v>2.6964260322733758E-3</v>
      </c>
      <c r="E71" s="59">
        <v>6.7280989182853272E-3</v>
      </c>
      <c r="F71" s="59">
        <v>2.3202439912785931E-3</v>
      </c>
      <c r="G71" s="59">
        <v>8.6004399357212996E-4</v>
      </c>
      <c r="H71" s="59">
        <v>1.0777489259678034E-3</v>
      </c>
      <c r="I71" s="59">
        <v>2.1454715957242079E-5</v>
      </c>
      <c r="J71" s="59">
        <v>8.9898599447446961E-4</v>
      </c>
      <c r="K71" s="59">
        <v>9.2755472626027298E-4</v>
      </c>
      <c r="L71" s="31">
        <v>2.923470285713515E-3</v>
      </c>
    </row>
    <row r="72" spans="1:12">
      <c r="A72" s="10">
        <v>24</v>
      </c>
      <c r="B72" s="10" t="s">
        <v>116</v>
      </c>
      <c r="C72" s="12" t="s">
        <v>1</v>
      </c>
      <c r="D72" s="59">
        <v>7.3055994286108277E-3</v>
      </c>
      <c r="E72" s="59">
        <v>3.5637326248908335E-3</v>
      </c>
      <c r="F72" s="59">
        <v>1.3434484739462004E-2</v>
      </c>
      <c r="G72" s="59">
        <v>2.1550289936505865E-3</v>
      </c>
      <c r="H72" s="59">
        <v>1.9431161738557524E-3</v>
      </c>
      <c r="I72" s="59">
        <v>1.2360139209696781E-4</v>
      </c>
      <c r="J72" s="59">
        <v>1.3693865880323956E-3</v>
      </c>
      <c r="K72" s="59">
        <v>3.6289926513078503E-3</v>
      </c>
      <c r="L72" s="31">
        <v>4.4878188028704491E-3</v>
      </c>
    </row>
    <row r="73" spans="1:12">
      <c r="A73" s="10">
        <v>25</v>
      </c>
      <c r="B73" s="10" t="s">
        <v>117</v>
      </c>
      <c r="C73" s="12" t="s">
        <v>67</v>
      </c>
      <c r="D73" s="59">
        <v>9.35533119240511E-2</v>
      </c>
      <c r="E73" s="59">
        <v>7.1300524771579513E-2</v>
      </c>
      <c r="F73" s="59">
        <v>1.3892914103891629E-2</v>
      </c>
      <c r="G73" s="59">
        <v>2.7858647465873257E-2</v>
      </c>
      <c r="H73" s="59">
        <v>4.3202404924429332E-2</v>
      </c>
      <c r="I73" s="59">
        <v>-2.0111196284329388E-2</v>
      </c>
      <c r="J73" s="59">
        <v>3.9024223829521858E-2</v>
      </c>
      <c r="K73" s="59">
        <v>7.3147724437646111E-2</v>
      </c>
      <c r="L73" s="31">
        <v>5.5636169933990474E-2</v>
      </c>
    </row>
    <row r="74" spans="1:12">
      <c r="A74" s="10">
        <v>26</v>
      </c>
      <c r="B74" s="10" t="s">
        <v>118</v>
      </c>
      <c r="C74" s="12" t="s">
        <v>68</v>
      </c>
      <c r="D74" s="59">
        <v>8.986185602178131E-3</v>
      </c>
      <c r="E74" s="59">
        <v>4.6737292876168547E-2</v>
      </c>
      <c r="F74" s="59">
        <v>8.5385518296899228E-3</v>
      </c>
      <c r="G74" s="59">
        <v>8.308411914990297E-3</v>
      </c>
      <c r="H74" s="59">
        <v>6.6286598312161674E-3</v>
      </c>
      <c r="I74" s="59">
        <v>1.6084324386839337E-3</v>
      </c>
      <c r="J74" s="59">
        <v>2.0984249721236983E-2</v>
      </c>
      <c r="K74" s="59">
        <v>1.0464683225432382E-2</v>
      </c>
      <c r="L74" s="31">
        <v>2.1664084602510261E-2</v>
      </c>
    </row>
    <row r="75" spans="1:12">
      <c r="A75" s="10">
        <v>27</v>
      </c>
      <c r="B75" s="10" t="s">
        <v>119</v>
      </c>
      <c r="C75" s="12" t="s">
        <v>120</v>
      </c>
      <c r="D75" s="59">
        <v>2.0294005648665802E-2</v>
      </c>
      <c r="E75" s="59">
        <v>0.21804096061674472</v>
      </c>
      <c r="F75" s="59">
        <v>1.1952826268578248E-2</v>
      </c>
      <c r="G75" s="59">
        <v>7.9308150935229731E-3</v>
      </c>
      <c r="H75" s="59">
        <v>1.8929784760239134E-2</v>
      </c>
      <c r="I75" s="59">
        <v>4.4850182498253847E-5</v>
      </c>
      <c r="J75" s="59">
        <v>7.4242292349143224E-3</v>
      </c>
      <c r="K75" s="59">
        <v>1.0049484784035567E-2</v>
      </c>
      <c r="L75" s="31">
        <v>7.4765601329625314E-2</v>
      </c>
    </row>
    <row r="76" spans="1:12">
      <c r="A76" s="10">
        <v>28</v>
      </c>
      <c r="B76" s="10" t="s">
        <v>121</v>
      </c>
      <c r="C76" s="12" t="s">
        <v>189</v>
      </c>
      <c r="D76" s="59">
        <v>2.900917071612838E-2</v>
      </c>
      <c r="E76" s="59">
        <v>1.8507767895084591E-2</v>
      </c>
      <c r="F76" s="59">
        <v>1.2109199990621393E-2</v>
      </c>
      <c r="G76" s="59">
        <v>1.9013556735405418E-2</v>
      </c>
      <c r="H76" s="59">
        <v>1.427640014194426E-2</v>
      </c>
      <c r="I76" s="59">
        <v>-3.3485989892444983E-3</v>
      </c>
      <c r="J76" s="59">
        <v>1.7589124141232166E-2</v>
      </c>
      <c r="K76" s="59">
        <v>2.5638784839301623E-2</v>
      </c>
      <c r="L76" s="31">
        <v>1.9108149672655179E-2</v>
      </c>
    </row>
    <row r="77" spans="1:12">
      <c r="A77" s="10">
        <v>29</v>
      </c>
      <c r="B77" s="10" t="s">
        <v>123</v>
      </c>
      <c r="C77" s="12" t="s">
        <v>190</v>
      </c>
      <c r="D77" s="59">
        <v>1.1815130801001475E-2</v>
      </c>
      <c r="E77" s="59">
        <v>2.1476143218935984E-2</v>
      </c>
      <c r="F77" s="59">
        <v>7.3482335928004797E-3</v>
      </c>
      <c r="G77" s="59">
        <v>1.7165744662741469E-2</v>
      </c>
      <c r="H77" s="59">
        <v>2.9207970810014954E-2</v>
      </c>
      <c r="I77" s="59">
        <v>3.499240547840054E-3</v>
      </c>
      <c r="J77" s="59">
        <v>8.1361208371876527E-3</v>
      </c>
      <c r="K77" s="59">
        <v>1.5826590222878821E-2</v>
      </c>
      <c r="L77" s="31">
        <v>1.7569764857533404E-2</v>
      </c>
    </row>
    <row r="78" spans="1:12">
      <c r="A78" s="10">
        <v>30</v>
      </c>
      <c r="B78" s="10" t="s">
        <v>125</v>
      </c>
      <c r="C78" s="12" t="s">
        <v>69</v>
      </c>
      <c r="D78" s="59">
        <v>2.2153202467830723E-4</v>
      </c>
      <c r="E78" s="59">
        <v>3.6989169768434013E-3</v>
      </c>
      <c r="F78" s="59">
        <v>0.22614432989225453</v>
      </c>
      <c r="G78" s="59">
        <v>5.621800499821674E-4</v>
      </c>
      <c r="H78" s="59">
        <v>3.2303976058445361E-4</v>
      </c>
      <c r="I78" s="59">
        <v>4.6647276407021568E-5</v>
      </c>
      <c r="J78" s="59">
        <v>1.5681945398436366E-3</v>
      </c>
      <c r="K78" s="59">
        <v>2.2278466239825643E-4</v>
      </c>
      <c r="L78" s="31">
        <v>3.2399720698667631E-2</v>
      </c>
    </row>
    <row r="79" spans="1:12">
      <c r="A79" s="10">
        <v>31</v>
      </c>
      <c r="B79" s="10" t="s">
        <v>126</v>
      </c>
      <c r="C79" s="12" t="s">
        <v>127</v>
      </c>
      <c r="D79" s="59">
        <v>2.4905237183446013E-4</v>
      </c>
      <c r="E79" s="59">
        <v>8.320098581171614E-3</v>
      </c>
      <c r="F79" s="59">
        <v>8.8717650471862197E-2</v>
      </c>
      <c r="G79" s="59">
        <v>3.8812715401265602E-2</v>
      </c>
      <c r="H79" s="59">
        <v>0.10381958116109233</v>
      </c>
      <c r="I79" s="59">
        <v>8.0849621070007405E-5</v>
      </c>
      <c r="J79" s="59">
        <v>6.1686758781458288E-3</v>
      </c>
      <c r="K79" s="59">
        <v>1.5274709605179737E-3</v>
      </c>
      <c r="L79" s="31">
        <v>3.1802058978322653E-2</v>
      </c>
    </row>
    <row r="80" spans="1:12">
      <c r="A80" s="10">
        <v>32</v>
      </c>
      <c r="B80" s="10" t="s">
        <v>128</v>
      </c>
      <c r="C80" s="12" t="s">
        <v>191</v>
      </c>
      <c r="D80" s="59">
        <v>4.0326162924432626E-2</v>
      </c>
      <c r="E80" s="59">
        <v>3.2691206395342051E-2</v>
      </c>
      <c r="F80" s="59">
        <v>0.30247602008595476</v>
      </c>
      <c r="G80" s="59">
        <v>1.0164980588544682E-5</v>
      </c>
      <c r="H80" s="59">
        <v>1.2212566499723538E-5</v>
      </c>
      <c r="I80" s="59">
        <v>-6.7463472569897629E-8</v>
      </c>
      <c r="J80" s="59">
        <v>1.6306309906231902E-5</v>
      </c>
      <c r="K80" s="59">
        <v>1.012495865412079E-3</v>
      </c>
      <c r="L80" s="31">
        <v>5.2106454299663534E-2</v>
      </c>
    </row>
    <row r="81" spans="1:12">
      <c r="A81" s="10">
        <v>33</v>
      </c>
      <c r="B81" s="10" t="s">
        <v>130</v>
      </c>
      <c r="C81" s="12" t="s">
        <v>192</v>
      </c>
      <c r="D81" s="59">
        <v>1.7788458193318355E-3</v>
      </c>
      <c r="E81" s="59">
        <v>1.4404560685585413E-2</v>
      </c>
      <c r="F81" s="59">
        <v>1.2832116349751315E-3</v>
      </c>
      <c r="G81" s="59">
        <v>1.3453257837668722E-3</v>
      </c>
      <c r="H81" s="59">
        <v>1.1597643726693637E-3</v>
      </c>
      <c r="I81" s="59">
        <v>1.3761575133732398E-4</v>
      </c>
      <c r="J81" s="59">
        <v>1.5378360505765539E-3</v>
      </c>
      <c r="K81" s="59">
        <v>1.5885949951349567E-3</v>
      </c>
      <c r="L81" s="31">
        <v>5.3866878424539575E-3</v>
      </c>
    </row>
    <row r="82" spans="1:12">
      <c r="A82" s="10">
        <v>34</v>
      </c>
      <c r="B82" s="10" t="s">
        <v>131</v>
      </c>
      <c r="C82" s="12" t="s">
        <v>132</v>
      </c>
      <c r="D82" s="59">
        <v>2.6816359407372637E-2</v>
      </c>
      <c r="E82" s="59">
        <v>2.962943992663648E-2</v>
      </c>
      <c r="F82" s="59">
        <v>3.2783557038379083E-2</v>
      </c>
      <c r="G82" s="59">
        <v>4.6595156306518268E-2</v>
      </c>
      <c r="H82" s="59">
        <v>3.6840016821284627E-2</v>
      </c>
      <c r="I82" s="59">
        <v>3.3508333892737939E-3</v>
      </c>
      <c r="J82" s="59">
        <v>4.3131085138569447E-2</v>
      </c>
      <c r="K82" s="59">
        <v>4.3367445088251605E-2</v>
      </c>
      <c r="L82" s="31">
        <v>3.6900663230708848E-2</v>
      </c>
    </row>
    <row r="83" spans="1:12">
      <c r="A83" s="10">
        <v>35</v>
      </c>
      <c r="B83" s="10" t="s">
        <v>133</v>
      </c>
      <c r="C83" s="12" t="s">
        <v>193</v>
      </c>
      <c r="D83" s="59">
        <v>0.21359097640437497</v>
      </c>
      <c r="E83" s="59">
        <v>4.4385533262881409E-2</v>
      </c>
      <c r="F83" s="59">
        <v>6.084733370579143E-3</v>
      </c>
      <c r="G83" s="59">
        <v>6.2320362214371395E-4</v>
      </c>
      <c r="H83" s="59">
        <v>1.6812666505567099E-3</v>
      </c>
      <c r="I83" s="59">
        <v>4.0453581561556155E-5</v>
      </c>
      <c r="J83" s="59">
        <v>6.8720298219049703E-3</v>
      </c>
      <c r="K83" s="59">
        <v>1.8142959626863322E-2</v>
      </c>
      <c r="L83" s="31">
        <v>2.2419231072904583E-2</v>
      </c>
    </row>
    <row r="84" spans="1:12">
      <c r="A84" s="10">
        <v>36</v>
      </c>
      <c r="B84" s="10" t="s">
        <v>135</v>
      </c>
      <c r="C84" s="12" t="s">
        <v>194</v>
      </c>
      <c r="D84" s="59">
        <v>0</v>
      </c>
      <c r="E84" s="59">
        <v>0</v>
      </c>
      <c r="F84" s="59">
        <v>0</v>
      </c>
      <c r="G84" s="59">
        <v>0</v>
      </c>
      <c r="H84" s="59">
        <v>0</v>
      </c>
      <c r="I84" s="59">
        <v>0</v>
      </c>
      <c r="J84" s="59">
        <v>0</v>
      </c>
      <c r="K84" s="59">
        <v>0</v>
      </c>
      <c r="L84" s="31">
        <v>0</v>
      </c>
    </row>
    <row r="85" spans="1:12">
      <c r="A85" s="58">
        <v>37</v>
      </c>
      <c r="B85" s="10" t="s">
        <v>136</v>
      </c>
      <c r="C85" s="12" t="s">
        <v>195</v>
      </c>
      <c r="D85" s="59">
        <v>1.9463031764928036E-3</v>
      </c>
      <c r="E85" s="59">
        <v>1.6433380048031857E-3</v>
      </c>
      <c r="F85" s="59">
        <v>1.492532907040547E-3</v>
      </c>
      <c r="G85" s="59">
        <v>4.9391180287818616E-3</v>
      </c>
      <c r="H85" s="59">
        <v>2.8381147740241968E-3</v>
      </c>
      <c r="I85" s="59">
        <v>4.0982671637458364E-4</v>
      </c>
      <c r="J85" s="59">
        <v>1.3777610793240833E-2</v>
      </c>
      <c r="K85" s="59">
        <v>1.9573084150215094E-3</v>
      </c>
      <c r="L85" s="31">
        <v>3.1884277368100628E-3</v>
      </c>
    </row>
    <row r="86" spans="1:12">
      <c r="A86" s="6"/>
      <c r="B86" s="17"/>
      <c r="C86" s="13" t="s">
        <v>35</v>
      </c>
      <c r="D86" s="60">
        <v>0.49230152186218812</v>
      </c>
      <c r="E86" s="60">
        <v>0.55498627302338133</v>
      </c>
      <c r="F86" s="60">
        <v>0.74325667815135243</v>
      </c>
      <c r="G86" s="60">
        <v>0.56126612925062991</v>
      </c>
      <c r="H86" s="60">
        <v>0.44951219411745286</v>
      </c>
      <c r="I86" s="60">
        <v>9.0119362308190551E-2</v>
      </c>
      <c r="J86" s="60">
        <v>0.53721366313921881</v>
      </c>
      <c r="K86" s="60">
        <v>0.56616515088603248</v>
      </c>
      <c r="L86" s="34">
        <v>0.56866083268430001</v>
      </c>
    </row>
    <row r="88" spans="1:12">
      <c r="A88" s="1" t="s">
        <v>173</v>
      </c>
    </row>
    <row r="89" spans="1:12">
      <c r="A89" s="2"/>
      <c r="B89" s="4"/>
      <c r="C89" s="4"/>
      <c r="D89" s="11">
        <v>1</v>
      </c>
      <c r="E89" s="17">
        <v>2</v>
      </c>
      <c r="F89" s="17">
        <v>3</v>
      </c>
      <c r="G89" s="17">
        <v>4</v>
      </c>
      <c r="H89" s="17">
        <v>5</v>
      </c>
      <c r="I89" s="17">
        <v>6</v>
      </c>
      <c r="J89" s="17">
        <v>7</v>
      </c>
      <c r="K89" s="17">
        <v>8</v>
      </c>
      <c r="L89" s="20">
        <v>9</v>
      </c>
    </row>
    <row r="90" spans="1:12">
      <c r="A90" s="10"/>
      <c r="B90" s="16"/>
      <c r="C90" s="18"/>
      <c r="D90" s="2" t="s">
        <v>138</v>
      </c>
      <c r="E90" s="4" t="s">
        <v>146</v>
      </c>
      <c r="F90" s="4" t="s">
        <v>147</v>
      </c>
      <c r="G90" s="4" t="s">
        <v>148</v>
      </c>
      <c r="H90" s="4" t="s">
        <v>149</v>
      </c>
      <c r="I90" s="4" t="s">
        <v>150</v>
      </c>
      <c r="J90" s="4" t="s">
        <v>154</v>
      </c>
      <c r="K90" s="3" t="s">
        <v>155</v>
      </c>
      <c r="L90" s="5"/>
    </row>
    <row r="91" spans="1:12" ht="48" customHeight="1">
      <c r="A91" s="6"/>
      <c r="B91" s="15"/>
      <c r="C91" s="69" t="s">
        <v>225</v>
      </c>
      <c r="D91" s="53" t="s">
        <v>6</v>
      </c>
      <c r="E91" s="7" t="s">
        <v>70</v>
      </c>
      <c r="F91" s="7" t="s">
        <v>7</v>
      </c>
      <c r="G91" s="7" t="s">
        <v>8</v>
      </c>
      <c r="H91" s="7" t="s">
        <v>9</v>
      </c>
      <c r="I91" s="7" t="s">
        <v>10</v>
      </c>
      <c r="J91" s="7" t="s">
        <v>12</v>
      </c>
      <c r="K91" s="9" t="s">
        <v>13</v>
      </c>
      <c r="L91" s="8" t="s">
        <v>169</v>
      </c>
    </row>
    <row r="92" spans="1:12">
      <c r="A92" s="10">
        <v>1</v>
      </c>
      <c r="B92" s="10" t="s">
        <v>75</v>
      </c>
      <c r="C92" s="12" t="s">
        <v>179</v>
      </c>
      <c r="D92" s="59">
        <v>3.8460948697315056E-3</v>
      </c>
      <c r="E92" s="59">
        <v>0.10658881658069735</v>
      </c>
      <c r="F92" s="59">
        <v>5.0744108045825617E-3</v>
      </c>
      <c r="G92" s="59">
        <v>1.0397848319345468E-3</v>
      </c>
      <c r="H92" s="59">
        <v>7.3367699906727408E-3</v>
      </c>
      <c r="I92" s="59">
        <v>5.171089617231432E-3</v>
      </c>
      <c r="J92" s="59">
        <v>9.9190832153463748E-3</v>
      </c>
      <c r="K92" s="59">
        <v>0.86102395008980337</v>
      </c>
      <c r="L92" s="37">
        <v>1</v>
      </c>
    </row>
    <row r="93" spans="1:12">
      <c r="A93" s="10">
        <v>2</v>
      </c>
      <c r="B93" s="10" t="s">
        <v>77</v>
      </c>
      <c r="C93" s="12" t="s">
        <v>180</v>
      </c>
      <c r="D93" s="59">
        <v>1.4874680358285186E-3</v>
      </c>
      <c r="E93" s="59">
        <v>0.19084874764120263</v>
      </c>
      <c r="F93" s="59">
        <v>4.2860357790375239E-2</v>
      </c>
      <c r="G93" s="59">
        <v>5.8990971099858514E-2</v>
      </c>
      <c r="H93" s="59">
        <v>9.579096484044336E-2</v>
      </c>
      <c r="I93" s="59">
        <v>1.5291716441343509E-2</v>
      </c>
      <c r="J93" s="59">
        <v>0.13071812015956799</v>
      </c>
      <c r="K93" s="59">
        <v>0.46401165399138011</v>
      </c>
      <c r="L93" s="31">
        <v>1</v>
      </c>
    </row>
    <row r="94" spans="1:12">
      <c r="A94" s="10">
        <v>3</v>
      </c>
      <c r="B94" s="10" t="s">
        <v>79</v>
      </c>
      <c r="C94" s="12" t="s">
        <v>181</v>
      </c>
      <c r="D94" s="59">
        <v>5.7363229504541081E-3</v>
      </c>
      <c r="E94" s="59">
        <v>0.13743541590857783</v>
      </c>
      <c r="F94" s="59">
        <v>3.6550538881322103E-3</v>
      </c>
      <c r="G94" s="59">
        <v>1.0687028366451257E-4</v>
      </c>
      <c r="H94" s="59">
        <v>8.5235256902748389E-4</v>
      </c>
      <c r="I94" s="59">
        <v>-7.3200029937886373E-4</v>
      </c>
      <c r="J94" s="59">
        <v>1.4244876335462073E-2</v>
      </c>
      <c r="K94" s="59">
        <v>0.83870110836406064</v>
      </c>
      <c r="L94" s="31">
        <v>1</v>
      </c>
    </row>
    <row r="95" spans="1:12">
      <c r="A95" s="10">
        <v>4</v>
      </c>
      <c r="B95" s="10" t="s">
        <v>81</v>
      </c>
      <c r="C95" s="12" t="s">
        <v>82</v>
      </c>
      <c r="D95" s="59">
        <v>5.8534115299497926E-3</v>
      </c>
      <c r="E95" s="59">
        <v>0.16655397093517277</v>
      </c>
      <c r="F95" s="59">
        <v>1.9680373841224258E-2</v>
      </c>
      <c r="G95" s="59">
        <v>4.9751893189103353E-3</v>
      </c>
      <c r="H95" s="59">
        <v>1.650076707036912E-2</v>
      </c>
      <c r="I95" s="59">
        <v>-3.9448066855739062E-3</v>
      </c>
      <c r="J95" s="59">
        <v>0.10416256336070422</v>
      </c>
      <c r="K95" s="59">
        <v>0.68621853062924332</v>
      </c>
      <c r="L95" s="31">
        <v>1</v>
      </c>
    </row>
    <row r="96" spans="1:12">
      <c r="A96" s="10">
        <v>5</v>
      </c>
      <c r="B96" s="10" t="s">
        <v>83</v>
      </c>
      <c r="C96" s="12" t="s">
        <v>84</v>
      </c>
      <c r="D96" s="59">
        <v>5.9839553765713349E-3</v>
      </c>
      <c r="E96" s="59">
        <v>7.970181714740833E-2</v>
      </c>
      <c r="F96" s="59">
        <v>3.719007183949162E-2</v>
      </c>
      <c r="G96" s="59">
        <v>5.3397444792613304E-2</v>
      </c>
      <c r="H96" s="59">
        <v>0.10251846514536225</v>
      </c>
      <c r="I96" s="59">
        <v>-6.0951360881347939E-3</v>
      </c>
      <c r="J96" s="59">
        <v>3.4460362457421866E-2</v>
      </c>
      <c r="K96" s="59">
        <v>0.69284301932926595</v>
      </c>
      <c r="L96" s="31">
        <v>1</v>
      </c>
    </row>
    <row r="97" spans="1:12">
      <c r="A97" s="10">
        <v>6</v>
      </c>
      <c r="B97" s="10" t="s">
        <v>85</v>
      </c>
      <c r="C97" s="12" t="s">
        <v>86</v>
      </c>
      <c r="D97" s="59">
        <v>8.6389804775581513E-4</v>
      </c>
      <c r="E97" s="59">
        <v>1.4120877262880407E-2</v>
      </c>
      <c r="F97" s="59">
        <v>2.4231889592322035E-2</v>
      </c>
      <c r="G97" s="59">
        <v>6.3825873622684614E-4</v>
      </c>
      <c r="H97" s="59">
        <v>1.6047428142881423E-3</v>
      </c>
      <c r="I97" s="59">
        <v>3.9025346420855242E-4</v>
      </c>
      <c r="J97" s="59">
        <v>0.18310587761101077</v>
      </c>
      <c r="K97" s="59">
        <v>0.77504420247130756</v>
      </c>
      <c r="L97" s="31">
        <v>1</v>
      </c>
    </row>
    <row r="98" spans="1:12">
      <c r="A98" s="10">
        <v>7</v>
      </c>
      <c r="B98" s="10" t="s">
        <v>87</v>
      </c>
      <c r="C98" s="12" t="s">
        <v>88</v>
      </c>
      <c r="D98" s="59">
        <v>7.9252163197995849E-3</v>
      </c>
      <c r="E98" s="59">
        <v>0.56015076885888626</v>
      </c>
      <c r="F98" s="59">
        <v>6.6909556047486898E-2</v>
      </c>
      <c r="G98" s="59">
        <v>4.0383139667647575E-2</v>
      </c>
      <c r="H98" s="59">
        <v>7.9070289840537961E-2</v>
      </c>
      <c r="I98" s="59">
        <v>1.2579838457904234E-3</v>
      </c>
      <c r="J98" s="59">
        <v>4.8937424234172223E-2</v>
      </c>
      <c r="K98" s="59">
        <v>0.19536562118567896</v>
      </c>
      <c r="L98" s="31">
        <v>1</v>
      </c>
    </row>
    <row r="99" spans="1:12">
      <c r="A99" s="10">
        <v>8</v>
      </c>
      <c r="B99" s="10" t="s">
        <v>89</v>
      </c>
      <c r="C99" s="12" t="s">
        <v>182</v>
      </c>
      <c r="D99" s="59">
        <v>6.0645405322244563E-4</v>
      </c>
      <c r="E99" s="59">
        <v>1.7548559882763593E-2</v>
      </c>
      <c r="F99" s="59">
        <v>4.7923771827375634E-3</v>
      </c>
      <c r="G99" s="59">
        <v>4.3277171719445905E-3</v>
      </c>
      <c r="H99" s="59">
        <v>9.0779487575421598E-3</v>
      </c>
      <c r="I99" s="59">
        <v>-9.630676203936856E-4</v>
      </c>
      <c r="J99" s="59">
        <v>0.17556487822216971</v>
      </c>
      <c r="K99" s="59">
        <v>0.78904513235001372</v>
      </c>
      <c r="L99" s="31">
        <v>1</v>
      </c>
    </row>
    <row r="100" spans="1:12">
      <c r="A100" s="10">
        <v>9</v>
      </c>
      <c r="B100" s="10" t="s">
        <v>91</v>
      </c>
      <c r="C100" s="12" t="s">
        <v>92</v>
      </c>
      <c r="D100" s="59">
        <v>7.7271960906391134E-4</v>
      </c>
      <c r="E100" s="59">
        <v>1.3683467259348268E-2</v>
      </c>
      <c r="F100" s="59">
        <v>6.8214607658272268E-3</v>
      </c>
      <c r="G100" s="59">
        <v>5.9780114653251802E-2</v>
      </c>
      <c r="H100" s="59">
        <v>8.9907640433042169E-2</v>
      </c>
      <c r="I100" s="59">
        <v>-1.7191115533824537E-2</v>
      </c>
      <c r="J100" s="59">
        <v>0.30416159141810395</v>
      </c>
      <c r="K100" s="59">
        <v>0.54206412139518723</v>
      </c>
      <c r="L100" s="31">
        <v>1</v>
      </c>
    </row>
    <row r="101" spans="1:12">
      <c r="A101" s="10">
        <v>10</v>
      </c>
      <c r="B101" s="10" t="s">
        <v>93</v>
      </c>
      <c r="C101" s="12" t="s">
        <v>94</v>
      </c>
      <c r="D101" s="59">
        <v>1.6548337041438465E-4</v>
      </c>
      <c r="E101" s="59">
        <v>3.5932820402404947E-3</v>
      </c>
      <c r="F101" s="59">
        <v>1.345095257541887E-3</v>
      </c>
      <c r="G101" s="59">
        <v>1.8389234473950668E-2</v>
      </c>
      <c r="H101" s="59">
        <v>3.2314180753091414E-2</v>
      </c>
      <c r="I101" s="59">
        <v>-3.8430650566305402E-3</v>
      </c>
      <c r="J101" s="59">
        <v>0.25948347816609491</v>
      </c>
      <c r="K101" s="59">
        <v>0.68855231099529679</v>
      </c>
      <c r="L101" s="31">
        <v>1</v>
      </c>
    </row>
    <row r="102" spans="1:12">
      <c r="A102" s="10">
        <v>11</v>
      </c>
      <c r="B102" s="10" t="s">
        <v>95</v>
      </c>
      <c r="C102" s="12" t="s">
        <v>96</v>
      </c>
      <c r="D102" s="59">
        <v>7.7338871485144531E-5</v>
      </c>
      <c r="E102" s="59">
        <v>3.3864834308963885E-3</v>
      </c>
      <c r="F102" s="59">
        <v>1.3076686125210314E-3</v>
      </c>
      <c r="G102" s="59">
        <v>2.8815630986304178E-3</v>
      </c>
      <c r="H102" s="59">
        <v>4.2072187422206569E-3</v>
      </c>
      <c r="I102" s="59">
        <v>-1.0064565408548383E-3</v>
      </c>
      <c r="J102" s="59">
        <v>0.20633673061528393</v>
      </c>
      <c r="K102" s="59">
        <v>0.78280945316981732</v>
      </c>
      <c r="L102" s="31">
        <v>1</v>
      </c>
    </row>
    <row r="103" spans="1:12">
      <c r="A103" s="10">
        <v>12</v>
      </c>
      <c r="B103" s="10" t="s">
        <v>97</v>
      </c>
      <c r="C103" s="12" t="s">
        <v>98</v>
      </c>
      <c r="D103" s="59">
        <v>9.0989955904030291E-4</v>
      </c>
      <c r="E103" s="59">
        <v>1.4439038202578709E-2</v>
      </c>
      <c r="F103" s="59">
        <v>4.3571326242121226E-3</v>
      </c>
      <c r="G103" s="59">
        <v>3.9755278777202752E-2</v>
      </c>
      <c r="H103" s="59">
        <v>6.7364296300110427E-2</v>
      </c>
      <c r="I103" s="59">
        <v>-4.6220440512792045E-3</v>
      </c>
      <c r="J103" s="59">
        <v>7.284400326899039E-2</v>
      </c>
      <c r="K103" s="59">
        <v>0.80495239531914431</v>
      </c>
      <c r="L103" s="31">
        <v>1</v>
      </c>
    </row>
    <row r="104" spans="1:12">
      <c r="A104" s="10">
        <v>13</v>
      </c>
      <c r="B104" s="10" t="s">
        <v>99</v>
      </c>
      <c r="C104" s="12" t="s">
        <v>183</v>
      </c>
      <c r="D104" s="59">
        <v>2.787720595022885E-5</v>
      </c>
      <c r="E104" s="59">
        <v>1.1877130066520467E-3</v>
      </c>
      <c r="F104" s="59">
        <v>4.6112981661488819E-4</v>
      </c>
      <c r="G104" s="59">
        <v>3.5448105133868047E-3</v>
      </c>
      <c r="H104" s="59">
        <v>3.5295428887658631E-2</v>
      </c>
      <c r="I104" s="59">
        <v>-2.1590581353545246E-3</v>
      </c>
      <c r="J104" s="59">
        <v>0.25358182823418152</v>
      </c>
      <c r="K104" s="59">
        <v>0.70806027047091036</v>
      </c>
      <c r="L104" s="31">
        <v>1</v>
      </c>
    </row>
    <row r="105" spans="1:12">
      <c r="A105" s="10">
        <v>14</v>
      </c>
      <c r="B105" s="10" t="s">
        <v>100</v>
      </c>
      <c r="C105" s="12" t="s">
        <v>184</v>
      </c>
      <c r="D105" s="59">
        <v>2.5803482504672922E-5</v>
      </c>
      <c r="E105" s="59">
        <v>8.9915172128211796E-4</v>
      </c>
      <c r="F105" s="59">
        <v>4.1833811312032808E-4</v>
      </c>
      <c r="G105" s="59">
        <v>5.5664463605492045E-4</v>
      </c>
      <c r="H105" s="59">
        <v>5.6941245977330898E-2</v>
      </c>
      <c r="I105" s="59">
        <v>-2.7708657763698286E-3</v>
      </c>
      <c r="J105" s="59">
        <v>0.46886447235659923</v>
      </c>
      <c r="K105" s="59">
        <v>0.47506520948947761</v>
      </c>
      <c r="L105" s="31">
        <v>1</v>
      </c>
    </row>
    <row r="106" spans="1:12">
      <c r="A106" s="10">
        <v>15</v>
      </c>
      <c r="B106" s="10" t="s">
        <v>101</v>
      </c>
      <c r="C106" s="12" t="s">
        <v>185</v>
      </c>
      <c r="D106" s="59">
        <v>3.1830177900167708E-4</v>
      </c>
      <c r="E106" s="59">
        <v>7.2571763365037612E-3</v>
      </c>
      <c r="F106" s="59">
        <v>1.7045215952922379E-2</v>
      </c>
      <c r="G106" s="59">
        <v>1.282739469252081E-2</v>
      </c>
      <c r="H106" s="59">
        <v>7.2044297418603104E-2</v>
      </c>
      <c r="I106" s="59">
        <v>-4.4098933577000473E-3</v>
      </c>
      <c r="J106" s="59">
        <v>0.25302618732094218</v>
      </c>
      <c r="K106" s="59">
        <v>0.64189131985720604</v>
      </c>
      <c r="L106" s="31">
        <v>1</v>
      </c>
    </row>
    <row r="107" spans="1:12">
      <c r="A107" s="10">
        <v>16</v>
      </c>
      <c r="B107" s="10" t="s">
        <v>102</v>
      </c>
      <c r="C107" s="12" t="s">
        <v>186</v>
      </c>
      <c r="D107" s="59">
        <v>1.5082628258226365E-5</v>
      </c>
      <c r="E107" s="59">
        <v>7.041092943906905E-4</v>
      </c>
      <c r="F107" s="59">
        <v>2.7828912646572822E-4</v>
      </c>
      <c r="G107" s="59">
        <v>1.9804404943925873E-4</v>
      </c>
      <c r="H107" s="59">
        <v>7.4098477310044757E-4</v>
      </c>
      <c r="I107" s="59">
        <v>1.2742971759589699E-4</v>
      </c>
      <c r="J107" s="59">
        <v>0.7160404142008111</v>
      </c>
      <c r="K107" s="59">
        <v>0.28189564620993857</v>
      </c>
      <c r="L107" s="31">
        <v>1</v>
      </c>
    </row>
    <row r="108" spans="1:12">
      <c r="A108" s="10">
        <v>17</v>
      </c>
      <c r="B108" s="10" t="s">
        <v>104</v>
      </c>
      <c r="C108" s="12" t="s">
        <v>105</v>
      </c>
      <c r="D108" s="59">
        <v>2.4411772432948367E-4</v>
      </c>
      <c r="E108" s="59">
        <v>1.7846470917598018E-2</v>
      </c>
      <c r="F108" s="59">
        <v>4.120411386679102E-4</v>
      </c>
      <c r="G108" s="59">
        <v>2.7973798704869941E-3</v>
      </c>
      <c r="H108" s="59">
        <v>1.8010086543987461E-2</v>
      </c>
      <c r="I108" s="59">
        <v>-6.3135825145461467E-4</v>
      </c>
      <c r="J108" s="59">
        <v>0.22489798970508632</v>
      </c>
      <c r="K108" s="59">
        <v>0.73642327235129845</v>
      </c>
      <c r="L108" s="31">
        <v>1</v>
      </c>
    </row>
    <row r="109" spans="1:12">
      <c r="A109" s="10">
        <v>18</v>
      </c>
      <c r="B109" s="10" t="s">
        <v>106</v>
      </c>
      <c r="C109" s="12" t="s">
        <v>187</v>
      </c>
      <c r="D109" s="59">
        <v>1.2121317735662009E-4</v>
      </c>
      <c r="E109" s="59">
        <v>1.7101613654470084E-2</v>
      </c>
      <c r="F109" s="59">
        <v>1.9305654479502158E-4</v>
      </c>
      <c r="G109" s="59">
        <v>6.2218858929794308E-3</v>
      </c>
      <c r="H109" s="59">
        <v>1.7285716426776211E-2</v>
      </c>
      <c r="I109" s="59">
        <v>-2.0503920683718631E-3</v>
      </c>
      <c r="J109" s="59">
        <v>0.14984918970857078</v>
      </c>
      <c r="K109" s="59">
        <v>0.81127771666342385</v>
      </c>
      <c r="L109" s="31">
        <v>1</v>
      </c>
    </row>
    <row r="110" spans="1:12">
      <c r="A110" s="10">
        <v>19</v>
      </c>
      <c r="B110" s="10" t="s">
        <v>108</v>
      </c>
      <c r="C110" s="12" t="s">
        <v>109</v>
      </c>
      <c r="D110" s="59">
        <v>5.7250408282379065E-5</v>
      </c>
      <c r="E110" s="59">
        <v>1.9608959905228793E-2</v>
      </c>
      <c r="F110" s="59">
        <v>1.4667729053402993E-3</v>
      </c>
      <c r="G110" s="59">
        <v>3.4756070979683334E-3</v>
      </c>
      <c r="H110" s="59">
        <v>1.7784479179206839E-2</v>
      </c>
      <c r="I110" s="59">
        <v>-3.524147209863661E-4</v>
      </c>
      <c r="J110" s="59">
        <v>0.17687316776485401</v>
      </c>
      <c r="K110" s="59">
        <v>0.78108617746010567</v>
      </c>
      <c r="L110" s="31">
        <v>1</v>
      </c>
    </row>
    <row r="111" spans="1:12">
      <c r="A111" s="10">
        <v>20</v>
      </c>
      <c r="B111" s="10" t="s">
        <v>110</v>
      </c>
      <c r="C111" s="12" t="s">
        <v>66</v>
      </c>
      <c r="D111" s="59">
        <v>9.4228935189883106E-3</v>
      </c>
      <c r="E111" s="59">
        <v>0.1549170616287627</v>
      </c>
      <c r="F111" s="59">
        <v>3.7853485932342022E-2</v>
      </c>
      <c r="G111" s="59">
        <v>1.257535709984633E-2</v>
      </c>
      <c r="H111" s="59">
        <v>7.2433846480695063E-2</v>
      </c>
      <c r="I111" s="59">
        <v>-2.2162420683701337E-2</v>
      </c>
      <c r="J111" s="59">
        <v>0.18682639554476593</v>
      </c>
      <c r="K111" s="59">
        <v>0.54813338047830107</v>
      </c>
      <c r="L111" s="31">
        <v>1</v>
      </c>
    </row>
    <row r="112" spans="1:12">
      <c r="A112" s="10">
        <v>21</v>
      </c>
      <c r="B112" s="10" t="s">
        <v>111</v>
      </c>
      <c r="C112" s="12" t="s">
        <v>112</v>
      </c>
      <c r="D112" s="59">
        <v>5.3407453658714976E-4</v>
      </c>
      <c r="E112" s="59">
        <v>2.6939825371294541E-2</v>
      </c>
      <c r="F112" s="59">
        <v>1.1411088080483777E-2</v>
      </c>
      <c r="G112" s="59">
        <v>0.38425148753132748</v>
      </c>
      <c r="H112" s="59">
        <v>0.5537396553213807</v>
      </c>
      <c r="I112" s="59">
        <v>-3.0465907567311011E-5</v>
      </c>
      <c r="J112" s="59">
        <v>6.1714471197561616E-3</v>
      </c>
      <c r="K112" s="59">
        <v>1.698288794673759E-2</v>
      </c>
      <c r="L112" s="31">
        <v>1</v>
      </c>
    </row>
    <row r="113" spans="1:12">
      <c r="A113" s="10">
        <v>22</v>
      </c>
      <c r="B113" s="10" t="s">
        <v>113</v>
      </c>
      <c r="C113" s="12" t="s">
        <v>188</v>
      </c>
      <c r="D113" s="59">
        <v>7.6774083571995696E-3</v>
      </c>
      <c r="E113" s="59">
        <v>0.34002298891322313</v>
      </c>
      <c r="F113" s="59">
        <v>7.2597735625561058E-2</v>
      </c>
      <c r="G113" s="59">
        <v>1.0662601925330003E-2</v>
      </c>
      <c r="H113" s="59">
        <v>3.8329041867230476E-2</v>
      </c>
      <c r="I113" s="59">
        <v>-6.1973417266493361E-4</v>
      </c>
      <c r="J113" s="59">
        <v>7.9378971092586709E-2</v>
      </c>
      <c r="K113" s="59">
        <v>0.45195098639153408</v>
      </c>
      <c r="L113" s="31">
        <v>1</v>
      </c>
    </row>
    <row r="114" spans="1:12">
      <c r="A114" s="10">
        <v>23</v>
      </c>
      <c r="B114" s="10" t="s">
        <v>115</v>
      </c>
      <c r="C114" s="12" t="s">
        <v>0</v>
      </c>
      <c r="D114" s="59">
        <v>9.331462179291072E-3</v>
      </c>
      <c r="E114" s="59">
        <v>0.70175128008512155</v>
      </c>
      <c r="F114" s="59">
        <v>0.10875774230066872</v>
      </c>
      <c r="G114" s="59">
        <v>1.2324187718135276E-2</v>
      </c>
      <c r="H114" s="59">
        <v>5.1373064932075982E-2</v>
      </c>
      <c r="I114" s="59">
        <v>-2.515935206778865E-5</v>
      </c>
      <c r="J114" s="59">
        <v>2.9597212213075236E-2</v>
      </c>
      <c r="K114" s="59">
        <v>8.6890209923699849E-2</v>
      </c>
      <c r="L114" s="31">
        <v>1</v>
      </c>
    </row>
    <row r="115" spans="1:12">
      <c r="A115" s="10">
        <v>24</v>
      </c>
      <c r="B115" s="10" t="s">
        <v>116</v>
      </c>
      <c r="C115" s="12" t="s">
        <v>1</v>
      </c>
      <c r="D115" s="59">
        <v>1.6469500012797678E-2</v>
      </c>
      <c r="E115" s="59">
        <v>0.24213598043591464</v>
      </c>
      <c r="F115" s="59">
        <v>0.4102144092316008</v>
      </c>
      <c r="G115" s="59">
        <v>2.0116578916086893E-2</v>
      </c>
      <c r="H115" s="59">
        <v>6.0336486216320928E-2</v>
      </c>
      <c r="I115" s="59">
        <v>-9.4419873794637712E-5</v>
      </c>
      <c r="J115" s="59">
        <v>2.9368875675253064E-2</v>
      </c>
      <c r="K115" s="59">
        <v>0.22145258938582066</v>
      </c>
      <c r="L115" s="31">
        <v>1</v>
      </c>
    </row>
    <row r="116" spans="1:12">
      <c r="A116" s="10">
        <v>25</v>
      </c>
      <c r="B116" s="10" t="s">
        <v>117</v>
      </c>
      <c r="C116" s="12" t="s">
        <v>67</v>
      </c>
      <c r="D116" s="59">
        <v>1.7012252292206903E-2</v>
      </c>
      <c r="E116" s="59">
        <v>0.39077343358243261</v>
      </c>
      <c r="F116" s="59">
        <v>3.4218529040595733E-2</v>
      </c>
      <c r="G116" s="59">
        <v>2.0976794531286268E-2</v>
      </c>
      <c r="H116" s="59">
        <v>0.10820996587393245</v>
      </c>
      <c r="I116" s="59">
        <v>1.2392417804750931E-3</v>
      </c>
      <c r="J116" s="59">
        <v>6.7510855839345615E-2</v>
      </c>
      <c r="K116" s="59">
        <v>0.36005892705972525</v>
      </c>
      <c r="L116" s="31">
        <v>1</v>
      </c>
    </row>
    <row r="117" spans="1:12">
      <c r="A117" s="10">
        <v>26</v>
      </c>
      <c r="B117" s="10" t="s">
        <v>118</v>
      </c>
      <c r="C117" s="12" t="s">
        <v>68</v>
      </c>
      <c r="D117" s="59">
        <v>4.1965742762089158E-3</v>
      </c>
      <c r="E117" s="59">
        <v>0.65782858330240801</v>
      </c>
      <c r="F117" s="59">
        <v>5.4009366938707976E-2</v>
      </c>
      <c r="G117" s="59">
        <v>1.6066230685687809E-2</v>
      </c>
      <c r="H117" s="59">
        <v>4.2638503276925234E-2</v>
      </c>
      <c r="I117" s="59">
        <v>-2.545293377788352E-4</v>
      </c>
      <c r="J117" s="59">
        <v>9.3228708399189647E-2</v>
      </c>
      <c r="K117" s="59">
        <v>0.13228656245865131</v>
      </c>
      <c r="L117" s="31">
        <v>1</v>
      </c>
    </row>
    <row r="118" spans="1:12">
      <c r="A118" s="10">
        <v>27</v>
      </c>
      <c r="B118" s="10" t="s">
        <v>119</v>
      </c>
      <c r="C118" s="12" t="s">
        <v>120</v>
      </c>
      <c r="D118" s="59">
        <v>2.7461598871297527E-3</v>
      </c>
      <c r="E118" s="59">
        <v>0.88925391456269187</v>
      </c>
      <c r="F118" s="59">
        <v>2.1907558870005624E-2</v>
      </c>
      <c r="G118" s="59">
        <v>4.4437775994664239E-3</v>
      </c>
      <c r="H118" s="59">
        <v>3.5282585867650602E-2</v>
      </c>
      <c r="I118" s="59">
        <v>-2.0565427947039853E-6</v>
      </c>
      <c r="J118" s="59">
        <v>9.5575396179608026E-3</v>
      </c>
      <c r="K118" s="59">
        <v>3.6810520137889657E-2</v>
      </c>
      <c r="L118" s="31">
        <v>1</v>
      </c>
    </row>
    <row r="119" spans="1:12">
      <c r="A119" s="10">
        <v>28</v>
      </c>
      <c r="B119" s="10" t="s">
        <v>121</v>
      </c>
      <c r="C119" s="12" t="s">
        <v>189</v>
      </c>
      <c r="D119" s="59">
        <v>1.5359481397359657E-2</v>
      </c>
      <c r="E119" s="59">
        <v>0.29534181505320217</v>
      </c>
      <c r="F119" s="59">
        <v>8.6840442611684526E-2</v>
      </c>
      <c r="G119" s="59">
        <v>4.1685119622957324E-2</v>
      </c>
      <c r="H119" s="59">
        <v>0.10411579975065345</v>
      </c>
      <c r="I119" s="59">
        <v>6.0078609798492298E-4</v>
      </c>
      <c r="J119" s="59">
        <v>8.8597638097570861E-2</v>
      </c>
      <c r="K119" s="59">
        <v>0.3674589173685871</v>
      </c>
      <c r="L119" s="31">
        <v>1</v>
      </c>
    </row>
    <row r="120" spans="1:12">
      <c r="A120" s="10">
        <v>29</v>
      </c>
      <c r="B120" s="10" t="s">
        <v>123</v>
      </c>
      <c r="C120" s="12" t="s">
        <v>190</v>
      </c>
      <c r="D120" s="59">
        <v>6.803501072285458E-3</v>
      </c>
      <c r="E120" s="59">
        <v>0.3727175750392222</v>
      </c>
      <c r="F120" s="59">
        <v>5.7311558061050767E-2</v>
      </c>
      <c r="G120" s="59">
        <v>4.0929177808832068E-2</v>
      </c>
      <c r="H120" s="59">
        <v>0.23166050493409657</v>
      </c>
      <c r="I120" s="59">
        <v>-6.8278381241255158E-4</v>
      </c>
      <c r="J120" s="59">
        <v>4.4570551249156765E-2</v>
      </c>
      <c r="K120" s="59">
        <v>0.24668991564776876</v>
      </c>
      <c r="L120" s="31">
        <v>1</v>
      </c>
    </row>
    <row r="121" spans="1:12">
      <c r="A121" s="10">
        <v>30</v>
      </c>
      <c r="B121" s="10" t="s">
        <v>125</v>
      </c>
      <c r="C121" s="12" t="s">
        <v>69</v>
      </c>
      <c r="D121" s="59">
        <v>6.917594858968136E-5</v>
      </c>
      <c r="E121" s="59">
        <v>3.481150878992726E-2</v>
      </c>
      <c r="F121" s="59">
        <v>0.95646624464748653</v>
      </c>
      <c r="G121" s="59">
        <v>7.26892997281891E-4</v>
      </c>
      <c r="H121" s="59">
        <v>1.3894127351867496E-3</v>
      </c>
      <c r="I121" s="59">
        <v>-4.935832264688523E-6</v>
      </c>
      <c r="J121" s="59">
        <v>4.6585979969210149E-3</v>
      </c>
      <c r="K121" s="59">
        <v>1.883102716871314E-3</v>
      </c>
      <c r="L121" s="31">
        <v>1</v>
      </c>
    </row>
    <row r="122" spans="1:12">
      <c r="A122" s="10">
        <v>31</v>
      </c>
      <c r="B122" s="10" t="s">
        <v>126</v>
      </c>
      <c r="C122" s="12" t="s">
        <v>127</v>
      </c>
      <c r="D122" s="59">
        <v>7.923103264611731E-5</v>
      </c>
      <c r="E122" s="59">
        <v>7.9774256088092133E-2</v>
      </c>
      <c r="F122" s="59">
        <v>0.38227861507446159</v>
      </c>
      <c r="G122" s="59">
        <v>5.1127565137026661E-2</v>
      </c>
      <c r="H122" s="59">
        <v>0.45492582958939548</v>
      </c>
      <c r="I122" s="59">
        <v>-8.7156166001196689E-6</v>
      </c>
      <c r="J122" s="59">
        <v>1.8669525388812624E-2</v>
      </c>
      <c r="K122" s="59">
        <v>1.3153693306165549E-2</v>
      </c>
      <c r="L122" s="31">
        <v>1</v>
      </c>
    </row>
    <row r="123" spans="1:12">
      <c r="A123" s="10">
        <v>32</v>
      </c>
      <c r="B123" s="10" t="s">
        <v>128</v>
      </c>
      <c r="C123" s="12" t="s">
        <v>191</v>
      </c>
      <c r="D123" s="59">
        <v>7.8298826232454394E-3</v>
      </c>
      <c r="E123" s="59">
        <v>0.19130616047393853</v>
      </c>
      <c r="F123" s="59">
        <v>0.79547152713871694</v>
      </c>
      <c r="G123" s="59">
        <v>8.1724327138668784E-6</v>
      </c>
      <c r="H123" s="59">
        <v>3.2661188327256043E-5</v>
      </c>
      <c r="I123" s="59">
        <v>4.4386667268672545E-9</v>
      </c>
      <c r="J123" s="59">
        <v>3.0120399995271571E-5</v>
      </c>
      <c r="K123" s="59">
        <v>5.3214713043961198E-3</v>
      </c>
      <c r="L123" s="31">
        <v>1</v>
      </c>
    </row>
    <row r="124" spans="1:12">
      <c r="A124" s="10">
        <v>33</v>
      </c>
      <c r="B124" s="10" t="s">
        <v>130</v>
      </c>
      <c r="C124" s="12" t="s">
        <v>192</v>
      </c>
      <c r="D124" s="59">
        <v>3.3409991974802824E-3</v>
      </c>
      <c r="E124" s="59">
        <v>0.81539442572788412</v>
      </c>
      <c r="F124" s="59">
        <v>3.2643873828343849E-2</v>
      </c>
      <c r="G124" s="59">
        <v>1.0462656767683204E-2</v>
      </c>
      <c r="H124" s="59">
        <v>3.0002988549181681E-2</v>
      </c>
      <c r="I124" s="59">
        <v>-8.7583380499892761E-5</v>
      </c>
      <c r="J124" s="59">
        <v>2.747797937526681E-2</v>
      </c>
      <c r="K124" s="59">
        <v>8.076465993465988E-2</v>
      </c>
      <c r="L124" s="31">
        <v>1</v>
      </c>
    </row>
    <row r="125" spans="1:12">
      <c r="A125" s="10">
        <v>34</v>
      </c>
      <c r="B125" s="10" t="s">
        <v>131</v>
      </c>
      <c r="C125" s="12" t="s">
        <v>132</v>
      </c>
      <c r="D125" s="59">
        <v>7.3523389211315269E-3</v>
      </c>
      <c r="E125" s="59">
        <v>0.24483798682044144</v>
      </c>
      <c r="F125" s="59">
        <v>0.12174387249465923</v>
      </c>
      <c r="G125" s="59">
        <v>5.2898447049571702E-2</v>
      </c>
      <c r="H125" s="59">
        <v>0.1391240493446724</v>
      </c>
      <c r="I125" s="59">
        <v>-3.1131068681524766E-4</v>
      </c>
      <c r="J125" s="59">
        <v>0.11250006603508431</v>
      </c>
      <c r="K125" s="59">
        <v>0.32185455002125452</v>
      </c>
      <c r="L125" s="31">
        <v>1</v>
      </c>
    </row>
    <row r="126" spans="1:12">
      <c r="A126" s="10">
        <v>35</v>
      </c>
      <c r="B126" s="10" t="s">
        <v>133</v>
      </c>
      <c r="C126" s="12" t="s">
        <v>193</v>
      </c>
      <c r="D126" s="59">
        <v>9.6387798417387802E-2</v>
      </c>
      <c r="E126" s="59">
        <v>0.60368482409302171</v>
      </c>
      <c r="F126" s="59">
        <v>3.7191701716416642E-2</v>
      </c>
      <c r="G126" s="59">
        <v>1.1645163144208496E-3</v>
      </c>
      <c r="H126" s="59">
        <v>1.0450388769240287E-2</v>
      </c>
      <c r="I126" s="59">
        <v>-6.1860244470559423E-6</v>
      </c>
      <c r="J126" s="59">
        <v>2.9502640473091073E-2</v>
      </c>
      <c r="K126" s="59">
        <v>0.22162431624086851</v>
      </c>
      <c r="L126" s="31">
        <v>1</v>
      </c>
    </row>
    <row r="127" spans="1:12">
      <c r="A127" s="10">
        <v>36</v>
      </c>
      <c r="B127" s="10" t="s">
        <v>135</v>
      </c>
      <c r="C127" s="12" t="s">
        <v>194</v>
      </c>
      <c r="D127" s="59">
        <v>0</v>
      </c>
      <c r="E127" s="59">
        <v>0</v>
      </c>
      <c r="F127" s="59">
        <v>0</v>
      </c>
      <c r="G127" s="59">
        <v>0</v>
      </c>
      <c r="H127" s="59">
        <v>0</v>
      </c>
      <c r="I127" s="59">
        <v>0</v>
      </c>
      <c r="J127" s="59">
        <v>0</v>
      </c>
      <c r="K127" s="59">
        <v>0</v>
      </c>
      <c r="L127" s="31">
        <v>0</v>
      </c>
    </row>
    <row r="128" spans="1:12">
      <c r="A128" s="58">
        <v>37</v>
      </c>
      <c r="B128" s="10" t="s">
        <v>136</v>
      </c>
      <c r="C128" s="12" t="s">
        <v>195</v>
      </c>
      <c r="D128" s="59">
        <v>6.1758080012693237E-3</v>
      </c>
      <c r="E128" s="59">
        <v>0.15715921475508138</v>
      </c>
      <c r="F128" s="59">
        <v>6.4146438315539275E-2</v>
      </c>
      <c r="G128" s="59">
        <v>6.4894687824342587E-2</v>
      </c>
      <c r="H128" s="59">
        <v>0.12404233641852468</v>
      </c>
      <c r="I128" s="59">
        <v>-4.4065535803485358E-4</v>
      </c>
      <c r="J128" s="59">
        <v>0.41590476705618495</v>
      </c>
      <c r="K128" s="59">
        <v>0.16811740298709268</v>
      </c>
      <c r="L128" s="31">
        <v>1</v>
      </c>
    </row>
    <row r="129" spans="1:12">
      <c r="A129" s="6"/>
      <c r="B129" s="17"/>
      <c r="C129" s="13" t="s">
        <v>35</v>
      </c>
      <c r="D129" s="60">
        <v>8.7586613440533371E-3</v>
      </c>
      <c r="E129" s="60">
        <v>0.29759008290826305</v>
      </c>
      <c r="F129" s="60">
        <v>0.179106238950165</v>
      </c>
      <c r="G129" s="60">
        <v>4.1347745985425663E-2</v>
      </c>
      <c r="H129" s="60">
        <v>0.11015512884622375</v>
      </c>
      <c r="I129" s="60">
        <v>-5.4330056990542941E-4</v>
      </c>
      <c r="J129" s="60">
        <v>9.0926463026474807E-2</v>
      </c>
      <c r="K129" s="60">
        <v>0.27265897950929968</v>
      </c>
      <c r="L129" s="34">
        <v>1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E1CE-1D2E-4EBE-BC91-F27F4975FDF5}">
  <dimension ref="A1:L129"/>
  <sheetViews>
    <sheetView workbookViewId="0">
      <selection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1.59765625" style="1" customWidth="1"/>
    <col min="4" max="163" width="10.59765625" style="1" customWidth="1"/>
    <col min="164" max="16384" width="8.69921875" style="1"/>
  </cols>
  <sheetData>
    <row r="1" spans="1:12">
      <c r="A1" s="1" t="s">
        <v>226</v>
      </c>
    </row>
    <row r="2" spans="1:12">
      <c r="A2" s="1" t="s">
        <v>174</v>
      </c>
      <c r="L2" s="68" t="s">
        <v>207</v>
      </c>
    </row>
    <row r="3" spans="1:12">
      <c r="A3" s="2"/>
      <c r="B3" s="4"/>
      <c r="C3" s="4"/>
      <c r="D3" s="11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20">
        <v>9</v>
      </c>
    </row>
    <row r="4" spans="1:12">
      <c r="A4" s="10"/>
      <c r="B4" s="16"/>
      <c r="C4" s="18"/>
      <c r="D4" s="2" t="s">
        <v>138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150</v>
      </c>
      <c r="J4" s="4" t="s">
        <v>154</v>
      </c>
      <c r="K4" s="3" t="s">
        <v>155</v>
      </c>
      <c r="L4" s="5"/>
    </row>
    <row r="5" spans="1:12" ht="48" customHeight="1">
      <c r="A5" s="6"/>
      <c r="B5" s="15"/>
      <c r="C5" s="69" t="s">
        <v>225</v>
      </c>
      <c r="D5" s="53" t="s">
        <v>6</v>
      </c>
      <c r="E5" s="7" t="s">
        <v>70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12</v>
      </c>
      <c r="K5" s="9" t="s">
        <v>13</v>
      </c>
      <c r="L5" s="8" t="s">
        <v>169</v>
      </c>
    </row>
    <row r="6" spans="1:12">
      <c r="A6" s="10">
        <v>1</v>
      </c>
      <c r="B6" s="10" t="s">
        <v>75</v>
      </c>
      <c r="C6" s="12" t="s">
        <v>179</v>
      </c>
      <c r="D6" s="55">
        <v>1486.1581366264572</v>
      </c>
      <c r="E6" s="21">
        <v>41186.669180068049</v>
      </c>
      <c r="F6" s="21">
        <v>1960.7880619809166</v>
      </c>
      <c r="G6" s="21">
        <v>401.78017980824706</v>
      </c>
      <c r="H6" s="21">
        <v>2834.9795799385179</v>
      </c>
      <c r="I6" s="21">
        <v>1998.1454358689753</v>
      </c>
      <c r="J6" s="27">
        <v>1377.9391478212774</v>
      </c>
      <c r="K6" s="57">
        <v>66150.540277887572</v>
      </c>
      <c r="L6" s="23">
        <v>117397.00000000001</v>
      </c>
    </row>
    <row r="7" spans="1:12">
      <c r="A7" s="10">
        <v>2</v>
      </c>
      <c r="B7" s="10" t="s">
        <v>77</v>
      </c>
      <c r="C7" s="12" t="s">
        <v>180</v>
      </c>
      <c r="D7" s="55">
        <v>28.471433766152913</v>
      </c>
      <c r="E7" s="21">
        <v>3653.0112559986128</v>
      </c>
      <c r="F7" s="21">
        <v>820.3845787802619</v>
      </c>
      <c r="G7" s="21">
        <v>1129.1385670248355</v>
      </c>
      <c r="H7" s="21">
        <v>1833.5224994138803</v>
      </c>
      <c r="I7" s="21">
        <v>292.69677152289046</v>
      </c>
      <c r="J7" s="21">
        <v>2275.2173484392633</v>
      </c>
      <c r="K7" s="23">
        <v>8323.5575450541</v>
      </c>
      <c r="L7" s="23">
        <v>18355.999999999996</v>
      </c>
    </row>
    <row r="8" spans="1:12">
      <c r="A8" s="10">
        <v>3</v>
      </c>
      <c r="B8" s="10" t="s">
        <v>79</v>
      </c>
      <c r="C8" s="12" t="s">
        <v>181</v>
      </c>
      <c r="D8" s="55">
        <v>16272.680426950723</v>
      </c>
      <c r="E8" s="21">
        <v>389873.90036125854</v>
      </c>
      <c r="F8" s="21">
        <v>10368.580077966268</v>
      </c>
      <c r="G8" s="21">
        <v>303.16737537807461</v>
      </c>
      <c r="H8" s="21">
        <v>2417.9358600750843</v>
      </c>
      <c r="I8" s="21">
        <v>-2076.5230701108862</v>
      </c>
      <c r="J8" s="21">
        <v>3934.6103122744862</v>
      </c>
      <c r="K8" s="23">
        <v>128498.64865620781</v>
      </c>
      <c r="L8" s="23">
        <v>549593.00000000012</v>
      </c>
    </row>
    <row r="9" spans="1:12">
      <c r="A9" s="10">
        <v>4</v>
      </c>
      <c r="B9" s="10" t="s">
        <v>81</v>
      </c>
      <c r="C9" s="12" t="s">
        <v>82</v>
      </c>
      <c r="D9" s="55">
        <v>2160.9942793892765</v>
      </c>
      <c r="E9" s="21">
        <v>61489.300138711347</v>
      </c>
      <c r="F9" s="21">
        <v>7265.7073690311308</v>
      </c>
      <c r="G9" s="21">
        <v>1836.7674307594916</v>
      </c>
      <c r="H9" s="21">
        <v>6091.8428615779321</v>
      </c>
      <c r="I9" s="21">
        <v>-1456.3651704999636</v>
      </c>
      <c r="J9" s="21">
        <v>4250.1928524012337</v>
      </c>
      <c r="K9" s="23">
        <v>11404.56023862955</v>
      </c>
      <c r="L9" s="23">
        <v>93043</v>
      </c>
    </row>
    <row r="10" spans="1:12">
      <c r="A10" s="10">
        <v>5</v>
      </c>
      <c r="B10" s="10" t="s">
        <v>83</v>
      </c>
      <c r="C10" s="12" t="s">
        <v>84</v>
      </c>
      <c r="D10" s="55">
        <v>1836.0139767082655</v>
      </c>
      <c r="E10" s="21">
        <v>24454.335141705877</v>
      </c>
      <c r="F10" s="21">
        <v>11410.762179048001</v>
      </c>
      <c r="G10" s="21">
        <v>16383.553818531271</v>
      </c>
      <c r="H10" s="21">
        <v>31455.00309285611</v>
      </c>
      <c r="I10" s="21">
        <v>-1870.1267545491719</v>
      </c>
      <c r="J10" s="21">
        <v>8737.5879172770692</v>
      </c>
      <c r="K10" s="23">
        <v>56513.870628422555</v>
      </c>
      <c r="L10" s="23">
        <v>148920.99999999997</v>
      </c>
    </row>
    <row r="11" spans="1:12">
      <c r="A11" s="10">
        <v>6</v>
      </c>
      <c r="B11" s="10" t="s">
        <v>85</v>
      </c>
      <c r="C11" s="12" t="s">
        <v>86</v>
      </c>
      <c r="D11" s="55">
        <v>5090.9325025009748</v>
      </c>
      <c r="E11" s="21">
        <v>83214.024164277856</v>
      </c>
      <c r="F11" s="21">
        <v>142798.00104078534</v>
      </c>
      <c r="G11" s="21">
        <v>3761.2449220175627</v>
      </c>
      <c r="H11" s="21">
        <v>9456.7146813643139</v>
      </c>
      <c r="I11" s="21">
        <v>2299.7552203225787</v>
      </c>
      <c r="J11" s="21">
        <v>25619.109422033911</v>
      </c>
      <c r="K11" s="23">
        <v>101587.21804669744</v>
      </c>
      <c r="L11" s="23">
        <v>373826.99999999988</v>
      </c>
    </row>
    <row r="12" spans="1:12">
      <c r="A12" s="10">
        <v>7</v>
      </c>
      <c r="B12" s="10" t="s">
        <v>87</v>
      </c>
      <c r="C12" s="12" t="s">
        <v>88</v>
      </c>
      <c r="D12" s="55">
        <v>1866.4499706309182</v>
      </c>
      <c r="E12" s="21">
        <v>131919.85478977987</v>
      </c>
      <c r="F12" s="21">
        <v>15757.719900687553</v>
      </c>
      <c r="G12" s="21">
        <v>9510.5429057324654</v>
      </c>
      <c r="H12" s="21">
        <v>18621.667118656304</v>
      </c>
      <c r="I12" s="21">
        <v>296.26496202555165</v>
      </c>
      <c r="J12" s="21">
        <v>11176.973668333807</v>
      </c>
      <c r="K12" s="23">
        <v>44791.526684153519</v>
      </c>
      <c r="L12" s="23">
        <v>233941</v>
      </c>
    </row>
    <row r="13" spans="1:12">
      <c r="A13" s="10">
        <v>8</v>
      </c>
      <c r="B13" s="10" t="s">
        <v>89</v>
      </c>
      <c r="C13" s="12" t="s">
        <v>182</v>
      </c>
      <c r="D13" s="55">
        <v>1033.2561245887628</v>
      </c>
      <c r="E13" s="21">
        <v>29898.649172565303</v>
      </c>
      <c r="F13" s="21">
        <v>8165.091896230987</v>
      </c>
      <c r="G13" s="21">
        <v>7373.4197168594492</v>
      </c>
      <c r="H13" s="21">
        <v>15466.705354829059</v>
      </c>
      <c r="I13" s="21">
        <v>-1640.8423884338411</v>
      </c>
      <c r="J13" s="21">
        <v>32355.927985758401</v>
      </c>
      <c r="K13" s="23">
        <v>115798.79213760188</v>
      </c>
      <c r="L13" s="23">
        <v>208451</v>
      </c>
    </row>
    <row r="14" spans="1:12">
      <c r="A14" s="10">
        <v>9</v>
      </c>
      <c r="B14" s="10" t="s">
        <v>91</v>
      </c>
      <c r="C14" s="12" t="s">
        <v>92</v>
      </c>
      <c r="D14" s="55">
        <v>206.60907281768283</v>
      </c>
      <c r="E14" s="21">
        <v>3658.6731464080576</v>
      </c>
      <c r="F14" s="21">
        <v>1823.9160331353714</v>
      </c>
      <c r="G14" s="21">
        <v>15983.953191514738</v>
      </c>
      <c r="H14" s="21">
        <v>24039.423888309859</v>
      </c>
      <c r="I14" s="21">
        <v>-4596.5449814945459</v>
      </c>
      <c r="J14" s="21">
        <v>21399.811226115959</v>
      </c>
      <c r="K14" s="23">
        <v>24491.158423192843</v>
      </c>
      <c r="L14" s="23">
        <v>87006.999999999971</v>
      </c>
    </row>
    <row r="15" spans="1:12">
      <c r="A15" s="10">
        <v>10</v>
      </c>
      <c r="B15" s="10" t="s">
        <v>93</v>
      </c>
      <c r="C15" s="12" t="s">
        <v>94</v>
      </c>
      <c r="D15" s="55">
        <v>91.522323667185631</v>
      </c>
      <c r="E15" s="21">
        <v>1987.3025373538617</v>
      </c>
      <c r="F15" s="21">
        <v>743.91912139374676</v>
      </c>
      <c r="G15" s="21">
        <v>10170.360111123186</v>
      </c>
      <c r="H15" s="21">
        <v>17871.69854299325</v>
      </c>
      <c r="I15" s="21">
        <v>-2125.4476694923383</v>
      </c>
      <c r="J15" s="21">
        <v>46030.594050258158</v>
      </c>
      <c r="K15" s="23">
        <v>121028.05098270299</v>
      </c>
      <c r="L15" s="23">
        <v>195798.00000000006</v>
      </c>
    </row>
    <row r="16" spans="1:12">
      <c r="A16" s="10">
        <v>11</v>
      </c>
      <c r="B16" s="10" t="s">
        <v>95</v>
      </c>
      <c r="C16" s="12" t="s">
        <v>96</v>
      </c>
      <c r="D16" s="55">
        <v>123.03350026052522</v>
      </c>
      <c r="E16" s="21">
        <v>5387.3414762392367</v>
      </c>
      <c r="F16" s="21">
        <v>2080.2869694082688</v>
      </c>
      <c r="G16" s="21">
        <v>4584.0957779447835</v>
      </c>
      <c r="H16" s="21">
        <v>6692.9971730518355</v>
      </c>
      <c r="I16" s="21">
        <v>-1601.1078090951492</v>
      </c>
      <c r="J16" s="21">
        <v>54550.305417333329</v>
      </c>
      <c r="K16" s="23">
        <v>113071.04749485722</v>
      </c>
      <c r="L16" s="23">
        <v>184888.00000000003</v>
      </c>
    </row>
    <row r="17" spans="1:12">
      <c r="A17" s="10">
        <v>12</v>
      </c>
      <c r="B17" s="10" t="s">
        <v>97</v>
      </c>
      <c r="C17" s="12" t="s">
        <v>98</v>
      </c>
      <c r="D17" s="55">
        <v>608.59690546997081</v>
      </c>
      <c r="E17" s="21">
        <v>9657.7186797634859</v>
      </c>
      <c r="F17" s="21">
        <v>2914.3188448344958</v>
      </c>
      <c r="G17" s="21">
        <v>26590.780707071332</v>
      </c>
      <c r="H17" s="21">
        <v>45057.393269484412</v>
      </c>
      <c r="I17" s="21">
        <v>-3091.5079347014098</v>
      </c>
      <c r="J17" s="21">
        <v>24285.247096444524</v>
      </c>
      <c r="K17" s="23">
        <v>56447.452431633166</v>
      </c>
      <c r="L17" s="23">
        <v>162470</v>
      </c>
    </row>
    <row r="18" spans="1:12">
      <c r="A18" s="10">
        <v>13</v>
      </c>
      <c r="B18" s="10" t="s">
        <v>99</v>
      </c>
      <c r="C18" s="12" t="s">
        <v>183</v>
      </c>
      <c r="D18" s="55">
        <v>63.824484064984041</v>
      </c>
      <c r="E18" s="21">
        <v>2719.2527831583338</v>
      </c>
      <c r="F18" s="21">
        <v>1055.7504466183541</v>
      </c>
      <c r="G18" s="21">
        <v>8115.795482839153</v>
      </c>
      <c r="H18" s="21">
        <v>80808.404638150358</v>
      </c>
      <c r="I18" s="21">
        <v>-4943.1342510197946</v>
      </c>
      <c r="J18" s="21">
        <v>22983.552323706317</v>
      </c>
      <c r="K18" s="23">
        <v>46472.554092482307</v>
      </c>
      <c r="L18" s="23">
        <v>157276</v>
      </c>
    </row>
    <row r="19" spans="1:12">
      <c r="A19" s="10">
        <v>14</v>
      </c>
      <c r="B19" s="10" t="s">
        <v>100</v>
      </c>
      <c r="C19" s="12" t="s">
        <v>184</v>
      </c>
      <c r="D19" s="55">
        <v>60.660555582975043</v>
      </c>
      <c r="E19" s="21">
        <v>2113.7861122615541</v>
      </c>
      <c r="F19" s="21">
        <v>983.45726623594078</v>
      </c>
      <c r="G19" s="21">
        <v>1308.5975073038858</v>
      </c>
      <c r="H19" s="21">
        <v>133861.296278369</v>
      </c>
      <c r="I19" s="21">
        <v>-6513.9369234368296</v>
      </c>
      <c r="J19" s="21">
        <v>35224.925777857003</v>
      </c>
      <c r="K19" s="23">
        <v>38439.213425826529</v>
      </c>
      <c r="L19" s="23">
        <v>205478.00000000006</v>
      </c>
    </row>
    <row r="20" spans="1:12">
      <c r="A20" s="10">
        <v>15</v>
      </c>
      <c r="B20" s="10" t="s">
        <v>101</v>
      </c>
      <c r="C20" s="12" t="s">
        <v>185</v>
      </c>
      <c r="D20" s="55">
        <v>173.26119971350252</v>
      </c>
      <c r="E20" s="21">
        <v>3950.2986208206448</v>
      </c>
      <c r="F20" s="21">
        <v>9278.2219899672727</v>
      </c>
      <c r="G20" s="21">
        <v>6982.3354446695084</v>
      </c>
      <c r="H20" s="21">
        <v>39215.87068226155</v>
      </c>
      <c r="I20" s="21">
        <v>-2400.4371454037337</v>
      </c>
      <c r="J20" s="21">
        <v>4421.0082855910259</v>
      </c>
      <c r="K20" s="23">
        <v>10380.44092238023</v>
      </c>
      <c r="L20" s="23">
        <v>72001</v>
      </c>
    </row>
    <row r="21" spans="1:12">
      <c r="A21" s="10">
        <v>16</v>
      </c>
      <c r="B21" s="10" t="s">
        <v>102</v>
      </c>
      <c r="C21" s="12" t="s">
        <v>186</v>
      </c>
      <c r="D21" s="55">
        <v>153.69888569820046</v>
      </c>
      <c r="E21" s="21">
        <v>7175.1960006419667</v>
      </c>
      <c r="F21" s="21">
        <v>2835.8935795144935</v>
      </c>
      <c r="G21" s="21">
        <v>2018.1595141663247</v>
      </c>
      <c r="H21" s="21">
        <v>7550.974007647219</v>
      </c>
      <c r="I21" s="21">
        <v>1298.5671504993347</v>
      </c>
      <c r="J21" s="21">
        <v>172070.6163104068</v>
      </c>
      <c r="K21" s="23">
        <v>218660.89455142562</v>
      </c>
      <c r="L21" s="23">
        <v>411763.99999999994</v>
      </c>
    </row>
    <row r="22" spans="1:12">
      <c r="A22" s="10">
        <v>17</v>
      </c>
      <c r="B22" s="10" t="s">
        <v>104</v>
      </c>
      <c r="C22" s="12" t="s">
        <v>105</v>
      </c>
      <c r="D22" s="55">
        <v>1064.7551540073703</v>
      </c>
      <c r="E22" s="21">
        <v>77839.992743452458</v>
      </c>
      <c r="F22" s="21">
        <v>1797.1776824675883</v>
      </c>
      <c r="G22" s="21">
        <v>12201.181389014619</v>
      </c>
      <c r="H22" s="21">
        <v>78553.626224809908</v>
      </c>
      <c r="I22" s="21">
        <v>-2753.7613424335509</v>
      </c>
      <c r="J22" s="21">
        <v>21373.071274256803</v>
      </c>
      <c r="K22" s="23">
        <v>48675.956874424803</v>
      </c>
      <c r="L22" s="23">
        <v>238752</v>
      </c>
    </row>
    <row r="23" spans="1:12">
      <c r="A23" s="10">
        <v>18</v>
      </c>
      <c r="B23" s="10" t="s">
        <v>106</v>
      </c>
      <c r="C23" s="12" t="s">
        <v>187</v>
      </c>
      <c r="D23" s="55">
        <v>495.8343733412658</v>
      </c>
      <c r="E23" s="21">
        <v>69955.825549733388</v>
      </c>
      <c r="F23" s="21">
        <v>789.71670403656435</v>
      </c>
      <c r="G23" s="21">
        <v>25451.233603669152</v>
      </c>
      <c r="H23" s="21">
        <v>70708.91597049046</v>
      </c>
      <c r="I23" s="21">
        <v>-8387.3295667679286</v>
      </c>
      <c r="J23" s="21">
        <v>1726.777889974848</v>
      </c>
      <c r="K23" s="23">
        <v>8617.0254755222413</v>
      </c>
      <c r="L23" s="23">
        <v>169358</v>
      </c>
    </row>
    <row r="24" spans="1:12">
      <c r="A24" s="10">
        <v>19</v>
      </c>
      <c r="B24" s="10" t="s">
        <v>108</v>
      </c>
      <c r="C24" s="12" t="s">
        <v>109</v>
      </c>
      <c r="D24" s="55">
        <v>258.45960910435684</v>
      </c>
      <c r="E24" s="21">
        <v>88525.554037111418</v>
      </c>
      <c r="F24" s="21">
        <v>6621.8139421688311</v>
      </c>
      <c r="G24" s="21">
        <v>15690.788570632953</v>
      </c>
      <c r="H24" s="21">
        <v>80288.851637712054</v>
      </c>
      <c r="I24" s="21">
        <v>-1590.9925144899262</v>
      </c>
      <c r="J24" s="21">
        <v>23288.37417993991</v>
      </c>
      <c r="K24" s="23">
        <v>97287.150537820431</v>
      </c>
      <c r="L24" s="23">
        <v>310370</v>
      </c>
    </row>
    <row r="25" spans="1:12">
      <c r="A25" s="10">
        <v>20</v>
      </c>
      <c r="B25" s="10" t="s">
        <v>110</v>
      </c>
      <c r="C25" s="12" t="s">
        <v>66</v>
      </c>
      <c r="D25" s="55">
        <v>2292.9339915596661</v>
      </c>
      <c r="E25" s="21">
        <v>37696.976599102141</v>
      </c>
      <c r="F25" s="21">
        <v>9211.1350317594843</v>
      </c>
      <c r="G25" s="21">
        <v>3060.0434667051868</v>
      </c>
      <c r="H25" s="21">
        <v>17625.799166712008</v>
      </c>
      <c r="I25" s="21">
        <v>-5392.926028348008</v>
      </c>
      <c r="J25" s="21">
        <v>5999.8345235234701</v>
      </c>
      <c r="K25" s="23">
        <v>20621.20324898605</v>
      </c>
      <c r="L25" s="23">
        <v>91115</v>
      </c>
    </row>
    <row r="26" spans="1:12">
      <c r="A26" s="10">
        <v>21</v>
      </c>
      <c r="B26" s="10" t="s">
        <v>111</v>
      </c>
      <c r="C26" s="12" t="s">
        <v>112</v>
      </c>
      <c r="D26" s="55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3">
        <v>0</v>
      </c>
      <c r="L26" s="23">
        <v>0</v>
      </c>
    </row>
    <row r="27" spans="1:12">
      <c r="A27" s="10">
        <v>22</v>
      </c>
      <c r="B27" s="10" t="s">
        <v>113</v>
      </c>
      <c r="C27" s="12" t="s">
        <v>188</v>
      </c>
      <c r="D27" s="55">
        <v>1076.3787714106663</v>
      </c>
      <c r="E27" s="21">
        <v>47671.494081018071</v>
      </c>
      <c r="F27" s="21">
        <v>10178.260403011998</v>
      </c>
      <c r="G27" s="21">
        <v>1494.9052891872088</v>
      </c>
      <c r="H27" s="21">
        <v>5373.7622222098898</v>
      </c>
      <c r="I27" s="21">
        <v>-86.887225003309439</v>
      </c>
      <c r="J27" s="21">
        <v>10859.565472754563</v>
      </c>
      <c r="K27" s="23">
        <v>30315.52098541092</v>
      </c>
      <c r="L27" s="23">
        <v>106883</v>
      </c>
    </row>
    <row r="28" spans="1:12">
      <c r="A28" s="10">
        <v>23</v>
      </c>
      <c r="B28" s="10" t="s">
        <v>115</v>
      </c>
      <c r="C28" s="12" t="s">
        <v>0</v>
      </c>
      <c r="D28" s="55">
        <v>0.12187689581617603</v>
      </c>
      <c r="E28" s="21">
        <v>9.1654733211703565</v>
      </c>
      <c r="F28" s="21">
        <v>1.4204693512017355</v>
      </c>
      <c r="G28" s="21">
        <v>0.16096445698248341</v>
      </c>
      <c r="H28" s="21">
        <v>0.6709762695474959</v>
      </c>
      <c r="I28" s="21">
        <v>-3.2860270682695135E-4</v>
      </c>
      <c r="J28" s="21">
        <v>0.32570767641272746</v>
      </c>
      <c r="K28" s="23">
        <v>1.1348606315758507</v>
      </c>
      <c r="L28" s="23">
        <v>13</v>
      </c>
    </row>
    <row r="29" spans="1:12">
      <c r="A29" s="10">
        <v>24</v>
      </c>
      <c r="B29" s="10" t="s">
        <v>116</v>
      </c>
      <c r="C29" s="12" t="s">
        <v>1</v>
      </c>
      <c r="D29" s="55">
        <v>121.92378327775479</v>
      </c>
      <c r="E29" s="21">
        <v>1792.5337611630507</v>
      </c>
      <c r="F29" s="21">
        <v>3036.8191317102355</v>
      </c>
      <c r="G29" s="21">
        <v>148.92312493694166</v>
      </c>
      <c r="H29" s="21">
        <v>446.67128106278852</v>
      </c>
      <c r="I29" s="21">
        <v>-0.69899075386046494</v>
      </c>
      <c r="J29" s="21">
        <v>201.28159330771769</v>
      </c>
      <c r="K29" s="23">
        <v>713.54631529537244</v>
      </c>
      <c r="L29" s="23">
        <v>6461.0000000000018</v>
      </c>
    </row>
    <row r="30" spans="1:12">
      <c r="A30" s="10">
        <v>25</v>
      </c>
      <c r="B30" s="10" t="s">
        <v>117</v>
      </c>
      <c r="C30" s="12" t="s">
        <v>67</v>
      </c>
      <c r="D30" s="55">
        <v>10916.587701033193</v>
      </c>
      <c r="E30" s="21">
        <v>250755.3018650361</v>
      </c>
      <c r="F30" s="21">
        <v>21957.678904346656</v>
      </c>
      <c r="G30" s="21">
        <v>13460.593768189039</v>
      </c>
      <c r="H30" s="21">
        <v>69437.224554312736</v>
      </c>
      <c r="I30" s="21">
        <v>795.20873232864142</v>
      </c>
      <c r="J30" s="21">
        <v>22216.633151026097</v>
      </c>
      <c r="K30" s="23">
        <v>72654.771323727517</v>
      </c>
      <c r="L30" s="23">
        <v>462194</v>
      </c>
    </row>
    <row r="31" spans="1:12">
      <c r="A31" s="10">
        <v>26</v>
      </c>
      <c r="B31" s="10" t="s">
        <v>118</v>
      </c>
      <c r="C31" s="12" t="s">
        <v>68</v>
      </c>
      <c r="D31" s="55">
        <v>288.70316742500472</v>
      </c>
      <c r="E31" s="21">
        <v>45255.29232230709</v>
      </c>
      <c r="F31" s="21">
        <v>3715.5723405687868</v>
      </c>
      <c r="G31" s="21">
        <v>1105.2757278322424</v>
      </c>
      <c r="H31" s="21">
        <v>2933.3142082332442</v>
      </c>
      <c r="I31" s="21">
        <v>-17.510336093877441</v>
      </c>
      <c r="J31" s="21">
        <v>2592.7214667105936</v>
      </c>
      <c r="K31" s="23">
        <v>7473.6311030169127</v>
      </c>
      <c r="L31" s="23">
        <v>63347</v>
      </c>
    </row>
    <row r="32" spans="1:12">
      <c r="A32" s="10">
        <v>27</v>
      </c>
      <c r="B32" s="10" t="s">
        <v>119</v>
      </c>
      <c r="C32" s="12" t="s">
        <v>120</v>
      </c>
      <c r="D32" s="55">
        <v>32.013488596609754</v>
      </c>
      <c r="E32" s="21">
        <v>10366.51951212418</v>
      </c>
      <c r="F32" s="21">
        <v>255.38840231094844</v>
      </c>
      <c r="G32" s="21">
        <v>51.803547263621724</v>
      </c>
      <c r="H32" s="21">
        <v>411.30841129337659</v>
      </c>
      <c r="I32" s="21">
        <v>-2.3974244768213002E-2</v>
      </c>
      <c r="J32" s="21">
        <v>109.05618193974958</v>
      </c>
      <c r="K32" s="23">
        <v>418.93443071628411</v>
      </c>
      <c r="L32" s="23">
        <v>11645</v>
      </c>
    </row>
    <row r="33" spans="1:12">
      <c r="A33" s="10">
        <v>28</v>
      </c>
      <c r="B33" s="10" t="s">
        <v>121</v>
      </c>
      <c r="C33" s="12" t="s">
        <v>189</v>
      </c>
      <c r="D33" s="55">
        <v>2688.1228563280474</v>
      </c>
      <c r="E33" s="21">
        <v>51688.925096806997</v>
      </c>
      <c r="F33" s="21">
        <v>15198.285189384194</v>
      </c>
      <c r="G33" s="21">
        <v>7295.4756692828778</v>
      </c>
      <c r="H33" s="21">
        <v>18221.71294551111</v>
      </c>
      <c r="I33" s="21">
        <v>105.14592257229693</v>
      </c>
      <c r="J33" s="21">
        <v>10643.784480725219</v>
      </c>
      <c r="K33" s="23">
        <v>43012.547839389277</v>
      </c>
      <c r="L33" s="23">
        <v>148854.00000000003</v>
      </c>
    </row>
    <row r="34" spans="1:12">
      <c r="A34" s="10">
        <v>29</v>
      </c>
      <c r="B34" s="10" t="s">
        <v>123</v>
      </c>
      <c r="C34" s="12" t="s">
        <v>190</v>
      </c>
      <c r="D34" s="55">
        <v>3173.1670158605748</v>
      </c>
      <c r="E34" s="21">
        <v>173836.25030409574</v>
      </c>
      <c r="F34" s="21">
        <v>26730.229588368937</v>
      </c>
      <c r="G34" s="21">
        <v>19089.453448950564</v>
      </c>
      <c r="H34" s="21">
        <v>108046.9401451192</v>
      </c>
      <c r="I34" s="21">
        <v>-318.45178673327308</v>
      </c>
      <c r="J34" s="21">
        <v>13971.898889957894</v>
      </c>
      <c r="K34" s="23">
        <v>47171.512394380377</v>
      </c>
      <c r="L34" s="23">
        <v>391701</v>
      </c>
    </row>
    <row r="35" spans="1:12">
      <c r="A35" s="10">
        <v>30</v>
      </c>
      <c r="B35" s="10" t="s">
        <v>125</v>
      </c>
      <c r="C35" s="12" t="s">
        <v>69</v>
      </c>
      <c r="D35" s="55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3">
        <v>0</v>
      </c>
      <c r="L35" s="23">
        <v>0</v>
      </c>
    </row>
    <row r="36" spans="1:12">
      <c r="A36" s="10">
        <v>31</v>
      </c>
      <c r="B36" s="10" t="s">
        <v>126</v>
      </c>
      <c r="C36" s="12" t="s">
        <v>127</v>
      </c>
      <c r="D36" s="55">
        <v>17.845225085264527</v>
      </c>
      <c r="E36" s="21">
        <v>17967.575435498275</v>
      </c>
      <c r="F36" s="21">
        <v>86100.707051951686</v>
      </c>
      <c r="G36" s="21">
        <v>11515.474145173543</v>
      </c>
      <c r="H36" s="21">
        <v>102463.05715064149</v>
      </c>
      <c r="I36" s="21">
        <v>-1.963020483156928</v>
      </c>
      <c r="J36" s="21">
        <v>385.29939375538135</v>
      </c>
      <c r="K36" s="23">
        <v>874.00461837752994</v>
      </c>
      <c r="L36" s="23">
        <v>219322</v>
      </c>
    </row>
    <row r="37" spans="1:12">
      <c r="A37" s="10">
        <v>32</v>
      </c>
      <c r="B37" s="10" t="s">
        <v>128</v>
      </c>
      <c r="C37" s="12" t="s">
        <v>191</v>
      </c>
      <c r="D37" s="55">
        <v>143.17032214751561</v>
      </c>
      <c r="E37" s="21">
        <v>3498.0555829207774</v>
      </c>
      <c r="F37" s="21">
        <v>14545.290176064025</v>
      </c>
      <c r="G37" s="21">
        <v>0.14943389073286484</v>
      </c>
      <c r="H37" s="21">
        <v>0.5972136594553068</v>
      </c>
      <c r="I37" s="21">
        <v>8.1161541720230229E-5</v>
      </c>
      <c r="J37" s="21">
        <v>0.32701984562220632</v>
      </c>
      <c r="K37" s="23">
        <v>2.4101703103296805</v>
      </c>
      <c r="L37" s="23">
        <v>18190</v>
      </c>
    </row>
    <row r="38" spans="1:12">
      <c r="A38" s="10">
        <v>33</v>
      </c>
      <c r="B38" s="10" t="s">
        <v>130</v>
      </c>
      <c r="C38" s="12" t="s">
        <v>192</v>
      </c>
      <c r="D38" s="55">
        <v>10.533221453500634</v>
      </c>
      <c r="E38" s="21">
        <v>2570.7070102319194</v>
      </c>
      <c r="F38" s="21">
        <v>102.91686163630351</v>
      </c>
      <c r="G38" s="21">
        <v>32.985784854150566</v>
      </c>
      <c r="H38" s="21">
        <v>94.590900498783924</v>
      </c>
      <c r="I38" s="21">
        <v>-0.27612552051713696</v>
      </c>
      <c r="J38" s="21">
        <v>66.914315402441119</v>
      </c>
      <c r="K38" s="23">
        <v>254.62803144341765</v>
      </c>
      <c r="L38" s="23">
        <v>3133</v>
      </c>
    </row>
    <row r="39" spans="1:12">
      <c r="A39" s="10">
        <v>34</v>
      </c>
      <c r="B39" s="10" t="s">
        <v>131</v>
      </c>
      <c r="C39" s="12" t="s">
        <v>132</v>
      </c>
      <c r="D39" s="55">
        <v>4069.8586152235398</v>
      </c>
      <c r="E39" s="21">
        <v>135529.11538547603</v>
      </c>
      <c r="F39" s="21">
        <v>67390.847135595657</v>
      </c>
      <c r="G39" s="21">
        <v>29281.72963271293</v>
      </c>
      <c r="H39" s="21">
        <v>77011.576436285803</v>
      </c>
      <c r="I39" s="21">
        <v>-172.32481994331187</v>
      </c>
      <c r="J39" s="21">
        <v>41446.454136227483</v>
      </c>
      <c r="K39" s="23">
        <v>126986.74347842186</v>
      </c>
      <c r="L39" s="23">
        <v>481544.00000000012</v>
      </c>
    </row>
    <row r="40" spans="1:12">
      <c r="A40" s="10">
        <v>35</v>
      </c>
      <c r="B40" s="10" t="s">
        <v>133</v>
      </c>
      <c r="C40" s="12" t="s">
        <v>193</v>
      </c>
      <c r="D40" s="55">
        <v>14254.392226562513</v>
      </c>
      <c r="E40" s="21">
        <v>89276.447902486863</v>
      </c>
      <c r="F40" s="21">
        <v>5500.126702172769</v>
      </c>
      <c r="G40" s="21">
        <v>172.21549379212024</v>
      </c>
      <c r="H40" s="21">
        <v>1545.4647048971574</v>
      </c>
      <c r="I40" s="21">
        <v>-0.91482553019421486</v>
      </c>
      <c r="J40" s="21">
        <v>243.56166120271703</v>
      </c>
      <c r="K40" s="23">
        <v>986.70613441605462</v>
      </c>
      <c r="L40" s="23">
        <v>111977.99999999999</v>
      </c>
    </row>
    <row r="41" spans="1:12">
      <c r="A41" s="10">
        <v>36</v>
      </c>
      <c r="B41" s="10" t="s">
        <v>135</v>
      </c>
      <c r="C41" s="12" t="s">
        <v>194</v>
      </c>
      <c r="D41" s="55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3">
        <v>0</v>
      </c>
      <c r="L41" s="23">
        <v>0</v>
      </c>
    </row>
    <row r="42" spans="1:12">
      <c r="A42" s="58">
        <v>37</v>
      </c>
      <c r="B42" s="10" t="s">
        <v>136</v>
      </c>
      <c r="C42" s="12" t="s">
        <v>195</v>
      </c>
      <c r="D42" s="55">
        <v>245.97637730920718</v>
      </c>
      <c r="E42" s="21">
        <v>6259.497429043985</v>
      </c>
      <c r="F42" s="21">
        <v>2554.889742508492</v>
      </c>
      <c r="G42" s="21">
        <v>2584.6917867852894</v>
      </c>
      <c r="H42" s="21">
        <v>4940.4846360067431</v>
      </c>
      <c r="I42" s="21">
        <v>-17.550870847835171</v>
      </c>
      <c r="J42" s="21">
        <v>2082.0595773755231</v>
      </c>
      <c r="K42" s="23">
        <v>6695.9513218185893</v>
      </c>
      <c r="L42" s="23">
        <v>25345.999999999996</v>
      </c>
    </row>
    <row r="43" spans="1:12">
      <c r="A43" s="6"/>
      <c r="B43" s="17"/>
      <c r="C43" s="13" t="s">
        <v>35</v>
      </c>
      <c r="D43" s="56">
        <v>72406.941555058424</v>
      </c>
      <c r="E43" s="24">
        <v>1912834.5436519419</v>
      </c>
      <c r="F43" s="24">
        <v>495951.07481503289</v>
      </c>
      <c r="G43" s="24">
        <v>259090.77750007447</v>
      </c>
      <c r="H43" s="24">
        <v>1081380.9983147043</v>
      </c>
      <c r="I43" s="24">
        <v>-43971.801577732076</v>
      </c>
      <c r="J43" s="24">
        <v>627901.56005765486</v>
      </c>
      <c r="K43" s="26">
        <v>1674822.9056832648</v>
      </c>
      <c r="L43" s="26">
        <v>6080416.9999999981</v>
      </c>
    </row>
    <row r="45" spans="1:12">
      <c r="A45" s="1" t="s">
        <v>175</v>
      </c>
    </row>
    <row r="46" spans="1:12">
      <c r="A46" s="2"/>
      <c r="B46" s="4"/>
      <c r="C46" s="4"/>
      <c r="D46" s="11">
        <v>1</v>
      </c>
      <c r="E46" s="17">
        <v>2</v>
      </c>
      <c r="F46" s="17">
        <v>3</v>
      </c>
      <c r="G46" s="17">
        <v>4</v>
      </c>
      <c r="H46" s="17">
        <v>5</v>
      </c>
      <c r="I46" s="17">
        <v>6</v>
      </c>
      <c r="J46" s="17">
        <v>7</v>
      </c>
      <c r="K46" s="17">
        <v>8</v>
      </c>
      <c r="L46" s="20">
        <v>9</v>
      </c>
    </row>
    <row r="47" spans="1:12">
      <c r="A47" s="10"/>
      <c r="B47" s="16"/>
      <c r="C47" s="18"/>
      <c r="D47" s="2" t="s">
        <v>138</v>
      </c>
      <c r="E47" s="4" t="s">
        <v>146</v>
      </c>
      <c r="F47" s="4" t="s">
        <v>147</v>
      </c>
      <c r="G47" s="4" t="s">
        <v>148</v>
      </c>
      <c r="H47" s="4" t="s">
        <v>149</v>
      </c>
      <c r="I47" s="4" t="s">
        <v>150</v>
      </c>
      <c r="J47" s="4" t="s">
        <v>154</v>
      </c>
      <c r="K47" s="3" t="s">
        <v>155</v>
      </c>
      <c r="L47" s="5"/>
    </row>
    <row r="48" spans="1:12" ht="48" customHeight="1">
      <c r="A48" s="6"/>
      <c r="B48" s="15"/>
      <c r="C48" s="69" t="s">
        <v>225</v>
      </c>
      <c r="D48" s="53" t="s">
        <v>6</v>
      </c>
      <c r="E48" s="7" t="s">
        <v>70</v>
      </c>
      <c r="F48" s="7" t="s">
        <v>7</v>
      </c>
      <c r="G48" s="7" t="s">
        <v>8</v>
      </c>
      <c r="H48" s="7" t="s">
        <v>9</v>
      </c>
      <c r="I48" s="7" t="s">
        <v>10</v>
      </c>
      <c r="J48" s="7" t="s">
        <v>12</v>
      </c>
      <c r="K48" s="9" t="s">
        <v>13</v>
      </c>
      <c r="L48" s="8" t="s">
        <v>170</v>
      </c>
    </row>
    <row r="49" spans="1:12">
      <c r="A49" s="10">
        <v>1</v>
      </c>
      <c r="B49" s="10" t="s">
        <v>75</v>
      </c>
      <c r="C49" s="12" t="s">
        <v>179</v>
      </c>
      <c r="D49" s="59">
        <v>1.0420550958690048E-2</v>
      </c>
      <c r="E49" s="30">
        <v>9.5819229187394783E-3</v>
      </c>
      <c r="F49" s="30">
        <v>1.0150582709431675E-3</v>
      </c>
      <c r="G49" s="30">
        <v>6.8035834844642215E-4</v>
      </c>
      <c r="H49" s="30">
        <v>1.4431746915419773E-3</v>
      </c>
      <c r="I49" s="30">
        <v>-4.1346357851076529E-2</v>
      </c>
      <c r="J49" s="36">
        <v>1.0155913780158811E-3</v>
      </c>
      <c r="K49" s="61">
        <v>1.7135190570227433E-2</v>
      </c>
      <c r="L49" s="37">
        <v>8.3280347754703752E-3</v>
      </c>
    </row>
    <row r="50" spans="1:12">
      <c r="A50" s="10">
        <v>2</v>
      </c>
      <c r="B50" s="10" t="s">
        <v>77</v>
      </c>
      <c r="C50" s="12" t="s">
        <v>180</v>
      </c>
      <c r="D50" s="59">
        <v>1.9963422405413703E-4</v>
      </c>
      <c r="E50" s="30">
        <v>8.4985926206447766E-4</v>
      </c>
      <c r="F50" s="30">
        <v>4.2469564569046019E-4</v>
      </c>
      <c r="G50" s="30">
        <v>1.9120376993081534E-3</v>
      </c>
      <c r="H50" s="30">
        <v>9.333729548712614E-4</v>
      </c>
      <c r="I50" s="30">
        <v>-6.0565888948805107E-3</v>
      </c>
      <c r="J50" s="30">
        <v>1.6769181177852522E-3</v>
      </c>
      <c r="K50" s="32">
        <v>2.1560783049935656E-3</v>
      </c>
      <c r="L50" s="31">
        <v>1.3021576900477368E-3</v>
      </c>
    </row>
    <row r="51" spans="1:12">
      <c r="A51" s="10">
        <v>3</v>
      </c>
      <c r="B51" s="10" t="s">
        <v>79</v>
      </c>
      <c r="C51" s="12" t="s">
        <v>181</v>
      </c>
      <c r="D51" s="59">
        <v>0.11409976599693393</v>
      </c>
      <c r="E51" s="30">
        <v>9.0702689381295651E-2</v>
      </c>
      <c r="F51" s="30">
        <v>5.3675933519523053E-3</v>
      </c>
      <c r="G51" s="30">
        <v>5.133714035209598E-4</v>
      </c>
      <c r="H51" s="30">
        <v>1.2308744174826904E-3</v>
      </c>
      <c r="I51" s="30">
        <v>4.2968176590950945E-2</v>
      </c>
      <c r="J51" s="30">
        <v>2.8999512172337445E-3</v>
      </c>
      <c r="K51" s="32">
        <v>3.3285424782491788E-2</v>
      </c>
      <c r="L51" s="31">
        <v>3.8987619925169213E-2</v>
      </c>
    </row>
    <row r="52" spans="1:12">
      <c r="A52" s="10">
        <v>4</v>
      </c>
      <c r="B52" s="10" t="s">
        <v>81</v>
      </c>
      <c r="C52" s="12" t="s">
        <v>82</v>
      </c>
      <c r="D52" s="59">
        <v>1.5152324947687364E-2</v>
      </c>
      <c r="E52" s="30">
        <v>1.4305253276987508E-2</v>
      </c>
      <c r="F52" s="30">
        <v>3.7613021530419478E-3</v>
      </c>
      <c r="G52" s="30">
        <v>3.1103078710057737E-3</v>
      </c>
      <c r="H52" s="30">
        <v>3.1011134982745067E-3</v>
      </c>
      <c r="I52" s="30">
        <v>3.0135641991018761E-2</v>
      </c>
      <c r="J52" s="30">
        <v>3.1325470523341824E-3</v>
      </c>
      <c r="K52" s="32">
        <v>2.9541604987295845E-3</v>
      </c>
      <c r="L52" s="31">
        <v>6.6003845039829812E-3</v>
      </c>
    </row>
    <row r="53" spans="1:12">
      <c r="A53" s="10">
        <v>5</v>
      </c>
      <c r="B53" s="10" t="s">
        <v>83</v>
      </c>
      <c r="C53" s="12" t="s">
        <v>84</v>
      </c>
      <c r="D53" s="59">
        <v>1.2873648324252657E-2</v>
      </c>
      <c r="E53" s="30">
        <v>5.6892086449720674E-3</v>
      </c>
      <c r="F53" s="30">
        <v>5.9071088569902161E-3</v>
      </c>
      <c r="G53" s="30">
        <v>2.7743249114425852E-2</v>
      </c>
      <c r="H53" s="30">
        <v>1.6012483725533232E-2</v>
      </c>
      <c r="I53" s="30">
        <v>3.8697348367355139E-2</v>
      </c>
      <c r="J53" s="30">
        <v>6.4399207813154403E-3</v>
      </c>
      <c r="K53" s="32">
        <v>1.4638972546727674E-2</v>
      </c>
      <c r="L53" s="31">
        <v>1.0564318226171225E-2</v>
      </c>
    </row>
    <row r="54" spans="1:12">
      <c r="A54" s="10">
        <v>6</v>
      </c>
      <c r="B54" s="10" t="s">
        <v>85</v>
      </c>
      <c r="C54" s="12" t="s">
        <v>86</v>
      </c>
      <c r="D54" s="59">
        <v>3.5696283095408538E-2</v>
      </c>
      <c r="E54" s="30">
        <v>1.9359428212420388E-2</v>
      </c>
      <c r="F54" s="30">
        <v>7.3923487622708159E-2</v>
      </c>
      <c r="G54" s="30">
        <v>6.3691404201861382E-3</v>
      </c>
      <c r="H54" s="30">
        <v>4.8140351309247913E-3</v>
      </c>
      <c r="I54" s="30">
        <v>-4.7587378076904809E-2</v>
      </c>
      <c r="J54" s="30">
        <v>1.8882217464103679E-2</v>
      </c>
      <c r="K54" s="32">
        <v>2.6314468988717921E-2</v>
      </c>
      <c r="L54" s="31">
        <v>2.6518942187702944E-2</v>
      </c>
    </row>
    <row r="55" spans="1:12">
      <c r="A55" s="10">
        <v>7</v>
      </c>
      <c r="B55" s="10" t="s">
        <v>87</v>
      </c>
      <c r="C55" s="12" t="s">
        <v>88</v>
      </c>
      <c r="D55" s="59">
        <v>1.3087057528719503E-2</v>
      </c>
      <c r="E55" s="30">
        <v>3.0690655622589172E-2</v>
      </c>
      <c r="F55" s="30">
        <v>8.1574364035241244E-3</v>
      </c>
      <c r="G55" s="30">
        <v>1.6104769695859847E-2</v>
      </c>
      <c r="H55" s="30">
        <v>9.4795457752634028E-3</v>
      </c>
      <c r="I55" s="30">
        <v>-6.1304232008101405E-3</v>
      </c>
      <c r="J55" s="30">
        <v>8.2378369957906428E-3</v>
      </c>
      <c r="K55" s="32">
        <v>1.1602495496487385E-2</v>
      </c>
      <c r="L55" s="31">
        <v>1.6595558518601963E-2</v>
      </c>
    </row>
    <row r="56" spans="1:12">
      <c r="A56" s="10">
        <v>8</v>
      </c>
      <c r="B56" s="10" t="s">
        <v>89</v>
      </c>
      <c r="C56" s="12" t="s">
        <v>182</v>
      </c>
      <c r="D56" s="59">
        <v>7.2449208696571451E-3</v>
      </c>
      <c r="E56" s="30">
        <v>6.9558077273361415E-3</v>
      </c>
      <c r="F56" s="30">
        <v>4.2268943915882316E-3</v>
      </c>
      <c r="G56" s="30">
        <v>1.2485851500586663E-2</v>
      </c>
      <c r="H56" s="30">
        <v>7.8734809547059085E-3</v>
      </c>
      <c r="I56" s="30">
        <v>3.3952912211265771E-2</v>
      </c>
      <c r="J56" s="30">
        <v>2.3847498303532541E-2</v>
      </c>
      <c r="K56" s="32">
        <v>2.9995739456465803E-2</v>
      </c>
      <c r="L56" s="31">
        <v>1.4787321456098323E-2</v>
      </c>
    </row>
    <row r="57" spans="1:12">
      <c r="A57" s="10">
        <v>9</v>
      </c>
      <c r="B57" s="10" t="s">
        <v>91</v>
      </c>
      <c r="C57" s="12" t="s">
        <v>92</v>
      </c>
      <c r="D57" s="59">
        <v>1.4486886144643933E-3</v>
      </c>
      <c r="E57" s="30">
        <v>8.5117647946898441E-4</v>
      </c>
      <c r="F57" s="30">
        <v>9.4420253307209785E-4</v>
      </c>
      <c r="G57" s="30">
        <v>2.7066581532752518E-2</v>
      </c>
      <c r="H57" s="30">
        <v>1.2237509010774182E-2</v>
      </c>
      <c r="I57" s="30">
        <v>9.5113393785969461E-2</v>
      </c>
      <c r="J57" s="30">
        <v>1.5772440899712158E-2</v>
      </c>
      <c r="K57" s="32">
        <v>6.3440247820216516E-3</v>
      </c>
      <c r="L57" s="31">
        <v>6.1721962376325677E-3</v>
      </c>
    </row>
    <row r="58" spans="1:12">
      <c r="A58" s="10">
        <v>10</v>
      </c>
      <c r="B58" s="10" t="s">
        <v>93</v>
      </c>
      <c r="C58" s="12" t="s">
        <v>94</v>
      </c>
      <c r="D58" s="59">
        <v>6.4173052256507332E-4</v>
      </c>
      <c r="E58" s="30">
        <v>4.6233842425780311E-4</v>
      </c>
      <c r="F58" s="30">
        <v>3.8511110493024114E-4</v>
      </c>
      <c r="G58" s="30">
        <v>1.7222077534067324E-2</v>
      </c>
      <c r="H58" s="30">
        <v>9.0977667756869125E-3</v>
      </c>
      <c r="I58" s="30">
        <v>4.3980542336423498E-2</v>
      </c>
      <c r="J58" s="30">
        <v>3.3926225636529118E-2</v>
      </c>
      <c r="K58" s="32">
        <v>3.135029145975167E-2</v>
      </c>
      <c r="L58" s="31">
        <v>1.3889729319893598E-2</v>
      </c>
    </row>
    <row r="59" spans="1:12">
      <c r="A59" s="10">
        <v>11</v>
      </c>
      <c r="B59" s="10" t="s">
        <v>95</v>
      </c>
      <c r="C59" s="12" t="s">
        <v>96</v>
      </c>
      <c r="D59" s="59">
        <v>8.6267862584333828E-4</v>
      </c>
      <c r="E59" s="30">
        <v>1.2533446328608219E-3</v>
      </c>
      <c r="F59" s="30">
        <v>1.0769203134069827E-3</v>
      </c>
      <c r="G59" s="30">
        <v>7.7625228653419804E-3</v>
      </c>
      <c r="H59" s="30">
        <v>3.4071371092273921E-3</v>
      </c>
      <c r="I59" s="30">
        <v>3.313070972945039E-2</v>
      </c>
      <c r="J59" s="30">
        <v>4.0205563458715517E-2</v>
      </c>
      <c r="K59" s="32">
        <v>2.9289162849774491E-2</v>
      </c>
      <c r="L59" s="31">
        <v>1.3115783994200591E-2</v>
      </c>
    </row>
    <row r="60" spans="1:12">
      <c r="A60" s="10">
        <v>12</v>
      </c>
      <c r="B60" s="10" t="s">
        <v>97</v>
      </c>
      <c r="C60" s="12" t="s">
        <v>98</v>
      </c>
      <c r="D60" s="59">
        <v>4.2673218350416557E-3</v>
      </c>
      <c r="E60" s="30">
        <v>2.2468317492677428E-3</v>
      </c>
      <c r="F60" s="30">
        <v>1.5086808742736945E-3</v>
      </c>
      <c r="G60" s="30">
        <v>4.5027755362144151E-2</v>
      </c>
      <c r="H60" s="30">
        <v>2.2936916404450412E-2</v>
      </c>
      <c r="I60" s="30">
        <v>6.3970615488265561E-2</v>
      </c>
      <c r="J60" s="30">
        <v>1.7899112310678939E-2</v>
      </c>
      <c r="K60" s="32">
        <v>1.4621768024216804E-2</v>
      </c>
      <c r="L60" s="31">
        <v>1.152547177500849E-2</v>
      </c>
    </row>
    <row r="61" spans="1:12">
      <c r="A61" s="10">
        <v>13</v>
      </c>
      <c r="B61" s="10" t="s">
        <v>99</v>
      </c>
      <c r="C61" s="12" t="s">
        <v>183</v>
      </c>
      <c r="D61" s="59">
        <v>4.4752053783522446E-4</v>
      </c>
      <c r="E61" s="30">
        <v>6.326238825207157E-4</v>
      </c>
      <c r="F61" s="30">
        <v>5.4653954890425741E-4</v>
      </c>
      <c r="G61" s="30">
        <v>1.3742960674836257E-2</v>
      </c>
      <c r="H61" s="30">
        <v>4.1136326082528991E-2</v>
      </c>
      <c r="I61" s="30">
        <v>0.10228514600574823</v>
      </c>
      <c r="J61" s="30">
        <v>1.6939715816217248E-2</v>
      </c>
      <c r="K61" s="32">
        <v>1.2037937518192505E-2</v>
      </c>
      <c r="L61" s="31">
        <v>1.1157014211154276E-2</v>
      </c>
    </row>
    <row r="62" spans="1:12">
      <c r="A62" s="10">
        <v>14</v>
      </c>
      <c r="B62" s="10" t="s">
        <v>100</v>
      </c>
      <c r="C62" s="12" t="s">
        <v>184</v>
      </c>
      <c r="D62" s="59">
        <v>4.2533590137973495E-4</v>
      </c>
      <c r="E62" s="30">
        <v>4.9176434991237479E-4</v>
      </c>
      <c r="F62" s="30">
        <v>5.0911490719880974E-4</v>
      </c>
      <c r="G62" s="30">
        <v>2.2159262293010248E-3</v>
      </c>
      <c r="H62" s="30">
        <v>6.8143430849732622E-2</v>
      </c>
      <c r="I62" s="30">
        <v>0.13478877073761728</v>
      </c>
      <c r="J62" s="30">
        <v>2.5962054251673628E-2</v>
      </c>
      <c r="K62" s="32">
        <v>9.9570350393851093E-3</v>
      </c>
      <c r="L62" s="31">
        <v>1.4576419581370069E-2</v>
      </c>
    </row>
    <row r="63" spans="1:12">
      <c r="A63" s="10">
        <v>15</v>
      </c>
      <c r="B63" s="10" t="s">
        <v>101</v>
      </c>
      <c r="C63" s="12" t="s">
        <v>185</v>
      </c>
      <c r="D63" s="59">
        <v>1.2148620771116024E-3</v>
      </c>
      <c r="E63" s="30">
        <v>9.1902204388560243E-4</v>
      </c>
      <c r="F63" s="30">
        <v>4.8031381632589291E-3</v>
      </c>
      <c r="G63" s="30">
        <v>1.1823605170622087E-2</v>
      </c>
      <c r="H63" s="30">
        <v>1.9963230943854018E-2</v>
      </c>
      <c r="I63" s="30">
        <v>4.9670725379264875E-2</v>
      </c>
      <c r="J63" s="30">
        <v>3.2584442528411106E-3</v>
      </c>
      <c r="K63" s="32">
        <v>2.6888795263162856E-3</v>
      </c>
      <c r="L63" s="31">
        <v>5.1076844541908433E-3</v>
      </c>
    </row>
    <row r="64" spans="1:12">
      <c r="A64" s="10">
        <v>16</v>
      </c>
      <c r="B64" s="10" t="s">
        <v>102</v>
      </c>
      <c r="C64" s="12" t="s">
        <v>186</v>
      </c>
      <c r="D64" s="59">
        <v>1.0776962634323889E-3</v>
      </c>
      <c r="E64" s="30">
        <v>1.6692822307240896E-3</v>
      </c>
      <c r="F64" s="30">
        <v>1.4680817826342048E-3</v>
      </c>
      <c r="G64" s="30">
        <v>3.4174699075871398E-3</v>
      </c>
      <c r="H64" s="30">
        <v>3.8438987925846343E-3</v>
      </c>
      <c r="I64" s="30">
        <v>-2.6870427514626084E-2</v>
      </c>
      <c r="J64" s="30">
        <v>0.12682231621841838</v>
      </c>
      <c r="K64" s="32">
        <v>5.6640445908006307E-2</v>
      </c>
      <c r="L64" s="31">
        <v>2.9210157936631963E-2</v>
      </c>
    </row>
    <row r="65" spans="1:12">
      <c r="A65" s="10">
        <v>17</v>
      </c>
      <c r="B65" s="10" t="s">
        <v>104</v>
      </c>
      <c r="C65" s="12" t="s">
        <v>105</v>
      </c>
      <c r="D65" s="59">
        <v>7.4657838001330147E-3</v>
      </c>
      <c r="E65" s="30">
        <v>1.8109180113645925E-2</v>
      </c>
      <c r="F65" s="30">
        <v>9.3036065769404579E-4</v>
      </c>
      <c r="G65" s="30">
        <v>2.0660988361563815E-2</v>
      </c>
      <c r="H65" s="30">
        <v>3.9988508594108602E-2</v>
      </c>
      <c r="I65" s="30">
        <v>5.6981839187898085E-2</v>
      </c>
      <c r="J65" s="30">
        <v>1.5752732580517032E-2</v>
      </c>
      <c r="K65" s="32">
        <v>1.2608692139590127E-2</v>
      </c>
      <c r="L65" s="31">
        <v>1.6936846416118832E-2</v>
      </c>
    </row>
    <row r="66" spans="1:12">
      <c r="A66" s="10">
        <v>18</v>
      </c>
      <c r="B66" s="10" t="s">
        <v>106</v>
      </c>
      <c r="C66" s="12" t="s">
        <v>187</v>
      </c>
      <c r="D66" s="59">
        <v>3.4766605431380739E-3</v>
      </c>
      <c r="E66" s="30">
        <v>1.6274958414426065E-2</v>
      </c>
      <c r="F66" s="30">
        <v>4.0881953928486014E-4</v>
      </c>
      <c r="G66" s="30">
        <v>4.3098092267220882E-2</v>
      </c>
      <c r="H66" s="30">
        <v>3.5995080429183625E-2</v>
      </c>
      <c r="I66" s="30">
        <v>0.17355369807287704</v>
      </c>
      <c r="J66" s="30">
        <v>1.2726982462032289E-3</v>
      </c>
      <c r="K66" s="32">
        <v>2.2320962618189734E-3</v>
      </c>
      <c r="L66" s="31">
        <v>1.2014100134621085E-2</v>
      </c>
    </row>
    <row r="67" spans="1:12">
      <c r="A67" s="10">
        <v>19</v>
      </c>
      <c r="B67" s="10" t="s">
        <v>108</v>
      </c>
      <c r="C67" s="12" t="s">
        <v>109</v>
      </c>
      <c r="D67" s="59">
        <v>1.8122509718573872E-3</v>
      </c>
      <c r="E67" s="30">
        <v>2.0595135562280653E-2</v>
      </c>
      <c r="F67" s="30">
        <v>3.427972222482182E-3</v>
      </c>
      <c r="G67" s="30">
        <v>2.6570148390178773E-2</v>
      </c>
      <c r="H67" s="30">
        <v>4.087184243458556E-2</v>
      </c>
      <c r="I67" s="30">
        <v>3.2921400345354068E-2</v>
      </c>
      <c r="J67" s="30">
        <v>1.7164380635060022E-2</v>
      </c>
      <c r="K67" s="32">
        <v>2.5200608453037898E-2</v>
      </c>
      <c r="L67" s="31">
        <v>2.2017361203972331E-2</v>
      </c>
    </row>
    <row r="68" spans="1:12">
      <c r="A68" s="10">
        <v>20</v>
      </c>
      <c r="B68" s="10" t="s">
        <v>110</v>
      </c>
      <c r="C68" s="12" t="s">
        <v>66</v>
      </c>
      <c r="D68" s="59">
        <v>1.6077451594887503E-2</v>
      </c>
      <c r="E68" s="30">
        <v>8.7700591291545119E-3</v>
      </c>
      <c r="F68" s="30">
        <v>4.768408672029551E-3</v>
      </c>
      <c r="G68" s="30">
        <v>5.1817541626254984E-3</v>
      </c>
      <c r="H68" s="30">
        <v>8.9725892403613346E-3</v>
      </c>
      <c r="I68" s="30">
        <v>0.11159240234957701</v>
      </c>
      <c r="J68" s="30">
        <v>4.4220967386310065E-3</v>
      </c>
      <c r="K68" s="32">
        <v>5.3415776496217723E-3</v>
      </c>
      <c r="L68" s="31">
        <v>6.4636139643004771E-3</v>
      </c>
    </row>
    <row r="69" spans="1:12">
      <c r="A69" s="10">
        <v>21</v>
      </c>
      <c r="B69" s="10" t="s">
        <v>111</v>
      </c>
      <c r="C69" s="12" t="s">
        <v>112</v>
      </c>
      <c r="D69" s="59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2">
        <v>0</v>
      </c>
      <c r="L69" s="31">
        <v>0</v>
      </c>
    </row>
    <row r="70" spans="1:12">
      <c r="A70" s="10">
        <v>22</v>
      </c>
      <c r="B70" s="10" t="s">
        <v>113</v>
      </c>
      <c r="C70" s="12" t="s">
        <v>188</v>
      </c>
      <c r="D70" s="59">
        <v>7.5472855558952326E-3</v>
      </c>
      <c r="E70" s="30">
        <v>1.1090592922394355E-2</v>
      </c>
      <c r="F70" s="30">
        <v>5.2690689045980215E-3</v>
      </c>
      <c r="G70" s="30">
        <v>2.5314123113804078E-3</v>
      </c>
      <c r="H70" s="30">
        <v>2.7355673713973898E-3</v>
      </c>
      <c r="I70" s="30">
        <v>1.7979023114058279E-3</v>
      </c>
      <c r="J70" s="30">
        <v>8.0038955860763216E-3</v>
      </c>
      <c r="K70" s="32">
        <v>7.8527284454302185E-3</v>
      </c>
      <c r="L70" s="31">
        <v>7.5821813241104966E-3</v>
      </c>
    </row>
    <row r="71" spans="1:12">
      <c r="A71" s="10">
        <v>23</v>
      </c>
      <c r="B71" s="10" t="s">
        <v>115</v>
      </c>
      <c r="C71" s="12" t="s">
        <v>0</v>
      </c>
      <c r="D71" s="59">
        <v>8.545688189160978E-7</v>
      </c>
      <c r="E71" s="30">
        <v>2.1323127270441825E-6</v>
      </c>
      <c r="F71" s="30">
        <v>7.3534676771845292E-7</v>
      </c>
      <c r="G71" s="30">
        <v>2.7257071805643529E-7</v>
      </c>
      <c r="H71" s="30">
        <v>3.4156717659927351E-7</v>
      </c>
      <c r="I71" s="30">
        <v>6.7995676708041334E-9</v>
      </c>
      <c r="J71" s="30">
        <v>2.4005842960581629E-7</v>
      </c>
      <c r="K71" s="32">
        <v>2.9396665712798697E-7</v>
      </c>
      <c r="L71" s="31">
        <v>9.2220799578451633E-7</v>
      </c>
    </row>
    <row r="72" spans="1:12">
      <c r="A72" s="10">
        <v>24</v>
      </c>
      <c r="B72" s="10" t="s">
        <v>116</v>
      </c>
      <c r="C72" s="12" t="s">
        <v>1</v>
      </c>
      <c r="D72" s="59">
        <v>8.5489758149570735E-4</v>
      </c>
      <c r="E72" s="30">
        <v>4.1702620461026891E-4</v>
      </c>
      <c r="F72" s="30">
        <v>1.5720966670343406E-3</v>
      </c>
      <c r="G72" s="30">
        <v>2.5218041212469506E-4</v>
      </c>
      <c r="H72" s="30">
        <v>2.2738248022316607E-4</v>
      </c>
      <c r="I72" s="30">
        <v>1.4463772919081775E-5</v>
      </c>
      <c r="J72" s="30">
        <v>1.4835187100956871E-4</v>
      </c>
      <c r="K72" s="32">
        <v>1.8483223329555915E-4</v>
      </c>
      <c r="L72" s="31">
        <v>4.5833737390490472E-4</v>
      </c>
    </row>
    <row r="73" spans="1:12">
      <c r="A73" s="10">
        <v>25</v>
      </c>
      <c r="B73" s="10" t="s">
        <v>117</v>
      </c>
      <c r="C73" s="12" t="s">
        <v>67</v>
      </c>
      <c r="D73" s="59">
        <v>7.6544248980024918E-2</v>
      </c>
      <c r="E73" s="30">
        <v>5.8337273243226996E-2</v>
      </c>
      <c r="F73" s="30">
        <v>1.1367023297792957E-2</v>
      </c>
      <c r="G73" s="30">
        <v>2.2793626479046435E-2</v>
      </c>
      <c r="H73" s="30">
        <v>3.5347713202884705E-2</v>
      </c>
      <c r="I73" s="30">
        <v>-1.6454750601705908E-2</v>
      </c>
      <c r="J73" s="30">
        <v>1.637446843164252E-2</v>
      </c>
      <c r="K73" s="32">
        <v>1.8820002788163506E-2</v>
      </c>
      <c r="L73" s="31">
        <v>3.2787615569509904E-2</v>
      </c>
    </row>
    <row r="74" spans="1:12">
      <c r="A74" s="10">
        <v>26</v>
      </c>
      <c r="B74" s="10" t="s">
        <v>118</v>
      </c>
      <c r="C74" s="12" t="s">
        <v>68</v>
      </c>
      <c r="D74" s="59">
        <v>2.0243108683686822E-3</v>
      </c>
      <c r="E74" s="30">
        <v>1.0528472715322706E-2</v>
      </c>
      <c r="F74" s="30">
        <v>1.9234727652165382E-3</v>
      </c>
      <c r="G74" s="30">
        <v>1.8716293300599153E-3</v>
      </c>
      <c r="H74" s="30">
        <v>1.4932329169561492E-3</v>
      </c>
      <c r="I74" s="30">
        <v>3.6233029349799165E-4</v>
      </c>
      <c r="J74" s="30">
        <v>1.9109302260200353E-3</v>
      </c>
      <c r="K74" s="32">
        <v>1.9359190818972302E-3</v>
      </c>
      <c r="L74" s="31">
        <v>4.4937776853047505E-3</v>
      </c>
    </row>
    <row r="75" spans="1:12">
      <c r="A75" s="10">
        <v>27</v>
      </c>
      <c r="B75" s="10" t="s">
        <v>119</v>
      </c>
      <c r="C75" s="12" t="s">
        <v>120</v>
      </c>
      <c r="D75" s="59">
        <v>2.2447018326305062E-4</v>
      </c>
      <c r="E75" s="30">
        <v>2.4117315839867234E-3</v>
      </c>
      <c r="F75" s="30">
        <v>1.3220914340267558E-4</v>
      </c>
      <c r="G75" s="30">
        <v>8.7722037151670369E-5</v>
      </c>
      <c r="H75" s="30">
        <v>2.0938065790576617E-4</v>
      </c>
      <c r="I75" s="30">
        <v>4.9608386136555137E-7</v>
      </c>
      <c r="J75" s="30">
        <v>8.0378381202437802E-5</v>
      </c>
      <c r="K75" s="32">
        <v>1.0851795429935234E-4</v>
      </c>
      <c r="L75" s="31">
        <v>8.2608554699313021E-4</v>
      </c>
    </row>
    <row r="76" spans="1:12">
      <c r="A76" s="10">
        <v>28</v>
      </c>
      <c r="B76" s="10" t="s">
        <v>121</v>
      </c>
      <c r="C76" s="12" t="s">
        <v>189</v>
      </c>
      <c r="D76" s="59">
        <v>1.8848412236380032E-2</v>
      </c>
      <c r="E76" s="30">
        <v>1.2025233064240833E-2</v>
      </c>
      <c r="F76" s="30">
        <v>7.8678289534524996E-3</v>
      </c>
      <c r="G76" s="30">
        <v>1.2353864194727686E-2</v>
      </c>
      <c r="H76" s="30">
        <v>9.2759451057755956E-3</v>
      </c>
      <c r="I76" s="30">
        <v>-2.1757179748856112E-3</v>
      </c>
      <c r="J76" s="30">
        <v>7.8448571297038364E-3</v>
      </c>
      <c r="K76" s="32">
        <v>1.1141680794182858E-2</v>
      </c>
      <c r="L76" s="31">
        <v>1.055956530803911E-2</v>
      </c>
    </row>
    <row r="77" spans="1:12">
      <c r="A77" s="10">
        <v>29</v>
      </c>
      <c r="B77" s="10" t="s">
        <v>123</v>
      </c>
      <c r="C77" s="12" t="s">
        <v>190</v>
      </c>
      <c r="D77" s="59">
        <v>2.2249414631116512E-2</v>
      </c>
      <c r="E77" s="30">
        <v>4.0442346614973236E-2</v>
      </c>
      <c r="F77" s="30">
        <v>1.3837671267986197E-2</v>
      </c>
      <c r="G77" s="30">
        <v>3.2325310391048502E-2</v>
      </c>
      <c r="H77" s="30">
        <v>5.500237483875229E-2</v>
      </c>
      <c r="I77" s="30">
        <v>6.5895211110408901E-3</v>
      </c>
      <c r="J77" s="30">
        <v>1.0297798759536621E-2</v>
      </c>
      <c r="K77" s="32">
        <v>1.2218990970716905E-2</v>
      </c>
      <c r="L77" s="31">
        <v>2.7786907242830065E-2</v>
      </c>
    </row>
    <row r="78" spans="1:12">
      <c r="A78" s="10">
        <v>30</v>
      </c>
      <c r="B78" s="10" t="s">
        <v>125</v>
      </c>
      <c r="C78" s="12" t="s">
        <v>69</v>
      </c>
      <c r="D78" s="59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2">
        <v>0</v>
      </c>
      <c r="L78" s="31">
        <v>0</v>
      </c>
    </row>
    <row r="79" spans="1:12">
      <c r="A79" s="10">
        <v>31</v>
      </c>
      <c r="B79" s="10" t="s">
        <v>126</v>
      </c>
      <c r="C79" s="12" t="s">
        <v>127</v>
      </c>
      <c r="D79" s="59">
        <v>1.2512603658209012E-4</v>
      </c>
      <c r="E79" s="30">
        <v>4.180088516186657E-3</v>
      </c>
      <c r="F79" s="30">
        <v>4.457250455658316E-2</v>
      </c>
      <c r="G79" s="30">
        <v>1.9499839376663376E-2</v>
      </c>
      <c r="H79" s="30">
        <v>5.215984338801901E-2</v>
      </c>
      <c r="I79" s="30">
        <v>4.0619539453244111E-5</v>
      </c>
      <c r="J79" s="30">
        <v>2.8397969741365164E-4</v>
      </c>
      <c r="K79" s="32">
        <v>2.2639627178017244E-4</v>
      </c>
      <c r="L79" s="31">
        <v>1.5558500157803976E-2</v>
      </c>
    </row>
    <row r="80" spans="1:12">
      <c r="A80" s="10">
        <v>32</v>
      </c>
      <c r="B80" s="10" t="s">
        <v>128</v>
      </c>
      <c r="C80" s="12" t="s">
        <v>191</v>
      </c>
      <c r="D80" s="59">
        <v>1.0038727379960146E-3</v>
      </c>
      <c r="E80" s="30">
        <v>8.1380941038159966E-4</v>
      </c>
      <c r="F80" s="30">
        <v>7.5297873251871537E-3</v>
      </c>
      <c r="G80" s="30">
        <v>2.5304532231892879E-7</v>
      </c>
      <c r="H80" s="30">
        <v>3.0401758265495495E-7</v>
      </c>
      <c r="I80" s="30">
        <v>-1.6794243739572128E-9</v>
      </c>
      <c r="J80" s="30">
        <v>2.4102554614195052E-7</v>
      </c>
      <c r="K80" s="32">
        <v>6.2431428981099906E-7</v>
      </c>
      <c r="L80" s="31">
        <v>1.2903818033323348E-3</v>
      </c>
    </row>
    <row r="81" spans="1:12">
      <c r="A81" s="10">
        <v>33</v>
      </c>
      <c r="B81" s="10" t="s">
        <v>130</v>
      </c>
      <c r="C81" s="12" t="s">
        <v>192</v>
      </c>
      <c r="D81" s="59">
        <v>7.3856185428912438E-5</v>
      </c>
      <c r="E81" s="30">
        <v>5.9806526988169463E-4</v>
      </c>
      <c r="F81" s="30">
        <v>5.3277870081432682E-5</v>
      </c>
      <c r="G81" s="30">
        <v>5.5856797406705311E-5</v>
      </c>
      <c r="H81" s="30">
        <v>4.8152443360093222E-5</v>
      </c>
      <c r="I81" s="30">
        <v>5.713690494281395E-6</v>
      </c>
      <c r="J81" s="30">
        <v>4.9318289487605712E-5</v>
      </c>
      <c r="K81" s="32">
        <v>6.5957130886250628E-5</v>
      </c>
      <c r="L81" s="31">
        <v>2.2225212698406843E-4</v>
      </c>
    </row>
    <row r="82" spans="1:12">
      <c r="A82" s="10">
        <v>34</v>
      </c>
      <c r="B82" s="10" t="s">
        <v>131</v>
      </c>
      <c r="C82" s="12" t="s">
        <v>132</v>
      </c>
      <c r="D82" s="59">
        <v>2.8536780877754138E-2</v>
      </c>
      <c r="E82" s="30">
        <v>3.1530336458890952E-2</v>
      </c>
      <c r="F82" s="30">
        <v>3.4886808063154556E-2</v>
      </c>
      <c r="G82" s="30">
        <v>4.9584499718416185E-2</v>
      </c>
      <c r="H82" s="30">
        <v>3.9203512736062984E-2</v>
      </c>
      <c r="I82" s="30">
        <v>3.5658083461276692E-3</v>
      </c>
      <c r="J82" s="30">
        <v>3.0547547427357675E-2</v>
      </c>
      <c r="K82" s="32">
        <v>3.2893791044707556E-2</v>
      </c>
      <c r="L82" s="31">
        <v>3.4160286701696865E-2</v>
      </c>
    </row>
    <row r="83" spans="1:12">
      <c r="A83" s="10">
        <v>35</v>
      </c>
      <c r="B83" s="10" t="s">
        <v>133</v>
      </c>
      <c r="C83" s="12" t="s">
        <v>193</v>
      </c>
      <c r="D83" s="59">
        <v>9.994805863609442E-2</v>
      </c>
      <c r="E83" s="30">
        <v>2.0769828182038888E-2</v>
      </c>
      <c r="F83" s="30">
        <v>2.8472985982154419E-3</v>
      </c>
      <c r="G83" s="30">
        <v>2.9162276991665323E-4</v>
      </c>
      <c r="H83" s="30">
        <v>7.8673425535831835E-4</v>
      </c>
      <c r="I83" s="30">
        <v>1.89299052329798E-5</v>
      </c>
      <c r="J83" s="30">
        <v>1.7951382216247749E-4</v>
      </c>
      <c r="K83" s="32">
        <v>2.5558971368950785E-4</v>
      </c>
      <c r="L83" s="31">
        <v>7.943615919381428E-3</v>
      </c>
    </row>
    <row r="84" spans="1:12">
      <c r="A84" s="10">
        <v>36</v>
      </c>
      <c r="B84" s="10" t="s">
        <v>135</v>
      </c>
      <c r="C84" s="12" t="s">
        <v>194</v>
      </c>
      <c r="D84" s="59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2">
        <v>0</v>
      </c>
      <c r="L84" s="31">
        <v>0</v>
      </c>
    </row>
    <row r="85" spans="1:12">
      <c r="A85" s="58">
        <v>37</v>
      </c>
      <c r="B85" s="10" t="s">
        <v>136</v>
      </c>
      <c r="C85" s="12" t="s">
        <v>195</v>
      </c>
      <c r="D85" s="59">
        <v>1.7247218255003378E-3</v>
      </c>
      <c r="E85" s="30">
        <v>1.4562484189465186E-3</v>
      </c>
      <c r="F85" s="30">
        <v>1.3226120735665434E-3</v>
      </c>
      <c r="G85" s="30">
        <v>4.3768128038061465E-3</v>
      </c>
      <c r="H85" s="30">
        <v>2.515003085416064E-3</v>
      </c>
      <c r="I85" s="30">
        <v>3.6316905348635694E-4</v>
      </c>
      <c r="J85" s="30">
        <v>1.5345537998839337E-3</v>
      </c>
      <c r="K85" s="32">
        <v>1.7344741473968165E-3</v>
      </c>
      <c r="L85" s="31">
        <v>1.7980218354734113E-3</v>
      </c>
    </row>
    <row r="86" spans="1:12">
      <c r="A86" s="6"/>
      <c r="B86" s="17"/>
      <c r="C86" s="13" t="s">
        <v>35</v>
      </c>
      <c r="D86" s="60">
        <v>0.50769847813781166</v>
      </c>
      <c r="E86" s="33">
        <v>0.44501372697661856</v>
      </c>
      <c r="F86" s="33">
        <v>0.25674332184864779</v>
      </c>
      <c r="G86" s="33">
        <v>0.43873387074937004</v>
      </c>
      <c r="H86" s="33">
        <v>0.55048780588254675</v>
      </c>
      <c r="I86" s="33">
        <v>0.90988063769180949</v>
      </c>
      <c r="J86" s="33">
        <v>0.46278633686078108</v>
      </c>
      <c r="K86" s="35">
        <v>0.43383484911396758</v>
      </c>
      <c r="L86" s="34">
        <v>0.43133916731569999</v>
      </c>
    </row>
    <row r="88" spans="1:12">
      <c r="A88" s="1" t="s">
        <v>176</v>
      </c>
    </row>
    <row r="89" spans="1:12">
      <c r="A89" s="2"/>
      <c r="B89" s="4"/>
      <c r="C89" s="4"/>
      <c r="D89" s="11">
        <v>1</v>
      </c>
      <c r="E89" s="17">
        <v>2</v>
      </c>
      <c r="F89" s="17">
        <v>3</v>
      </c>
      <c r="G89" s="17">
        <v>4</v>
      </c>
      <c r="H89" s="17">
        <v>5</v>
      </c>
      <c r="I89" s="17">
        <v>6</v>
      </c>
      <c r="J89" s="17">
        <v>7</v>
      </c>
      <c r="K89" s="17">
        <v>8</v>
      </c>
      <c r="L89" s="20">
        <v>9</v>
      </c>
    </row>
    <row r="90" spans="1:12">
      <c r="A90" s="10"/>
      <c r="B90" s="16"/>
      <c r="C90" s="18"/>
      <c r="D90" s="2" t="s">
        <v>138</v>
      </c>
      <c r="E90" s="4" t="s">
        <v>146</v>
      </c>
      <c r="F90" s="4" t="s">
        <v>147</v>
      </c>
      <c r="G90" s="4" t="s">
        <v>148</v>
      </c>
      <c r="H90" s="4" t="s">
        <v>149</v>
      </c>
      <c r="I90" s="4" t="s">
        <v>150</v>
      </c>
      <c r="J90" s="4" t="s">
        <v>154</v>
      </c>
      <c r="K90" s="3" t="s">
        <v>155</v>
      </c>
      <c r="L90" s="5"/>
    </row>
    <row r="91" spans="1:12" ht="48" customHeight="1">
      <c r="A91" s="6"/>
      <c r="B91" s="15"/>
      <c r="C91" s="69" t="s">
        <v>225</v>
      </c>
      <c r="D91" s="53" t="s">
        <v>6</v>
      </c>
      <c r="E91" s="7" t="s">
        <v>70</v>
      </c>
      <c r="F91" s="7" t="s">
        <v>7</v>
      </c>
      <c r="G91" s="7" t="s">
        <v>8</v>
      </c>
      <c r="H91" s="7" t="s">
        <v>9</v>
      </c>
      <c r="I91" s="7" t="s">
        <v>10</v>
      </c>
      <c r="J91" s="7" t="s">
        <v>12</v>
      </c>
      <c r="K91" s="9" t="s">
        <v>13</v>
      </c>
      <c r="L91" s="8" t="s">
        <v>169</v>
      </c>
    </row>
    <row r="92" spans="1:12">
      <c r="A92" s="10">
        <v>1</v>
      </c>
      <c r="B92" s="10" t="s">
        <v>75</v>
      </c>
      <c r="C92" s="12" t="s">
        <v>179</v>
      </c>
      <c r="D92" s="59">
        <v>1.2659251400175958E-2</v>
      </c>
      <c r="E92" s="30">
        <v>0.35083238225907004</v>
      </c>
      <c r="F92" s="30">
        <v>1.6702199050920522E-2</v>
      </c>
      <c r="G92" s="30">
        <v>3.4224058520085439E-3</v>
      </c>
      <c r="H92" s="30">
        <v>2.414865439439268E-2</v>
      </c>
      <c r="I92" s="30">
        <v>1.7020413092915278E-2</v>
      </c>
      <c r="J92" s="36">
        <v>1.173743066536008E-2</v>
      </c>
      <c r="K92" s="61">
        <v>0.5634772632851569</v>
      </c>
      <c r="L92" s="32">
        <v>1</v>
      </c>
    </row>
    <row r="93" spans="1:12">
      <c r="A93" s="10">
        <v>2</v>
      </c>
      <c r="B93" s="10" t="s">
        <v>77</v>
      </c>
      <c r="C93" s="12" t="s">
        <v>180</v>
      </c>
      <c r="D93" s="59">
        <v>1.5510696102720048E-3</v>
      </c>
      <c r="E93" s="30">
        <v>0.19900911178898525</v>
      </c>
      <c r="F93" s="30">
        <v>4.4692992960354221E-2</v>
      </c>
      <c r="G93" s="30">
        <v>6.1513323546787742E-2</v>
      </c>
      <c r="H93" s="30">
        <v>9.988682171572677E-2</v>
      </c>
      <c r="I93" s="30">
        <v>1.5945563931297153E-2</v>
      </c>
      <c r="J93" s="30">
        <v>0.12394951778379079</v>
      </c>
      <c r="K93" s="32">
        <v>0.45345159866278612</v>
      </c>
      <c r="L93" s="32">
        <v>1</v>
      </c>
    </row>
    <row r="94" spans="1:12">
      <c r="A94" s="10">
        <v>3</v>
      </c>
      <c r="B94" s="10" t="s">
        <v>79</v>
      </c>
      <c r="C94" s="12" t="s">
        <v>181</v>
      </c>
      <c r="D94" s="59">
        <v>2.9608602050882598E-2</v>
      </c>
      <c r="E94" s="30">
        <v>0.70938658309195801</v>
      </c>
      <c r="F94" s="30">
        <v>1.8865924562296583E-2</v>
      </c>
      <c r="G94" s="30">
        <v>5.5162160976954678E-4</v>
      </c>
      <c r="H94" s="30">
        <v>4.3995026502795407E-3</v>
      </c>
      <c r="I94" s="30">
        <v>-3.7782924275070566E-3</v>
      </c>
      <c r="J94" s="30">
        <v>7.159134691079554E-3</v>
      </c>
      <c r="K94" s="32">
        <v>0.23380692377124124</v>
      </c>
      <c r="L94" s="32">
        <v>1</v>
      </c>
    </row>
    <row r="95" spans="1:12">
      <c r="A95" s="10">
        <v>4</v>
      </c>
      <c r="B95" s="10" t="s">
        <v>81</v>
      </c>
      <c r="C95" s="12" t="s">
        <v>82</v>
      </c>
      <c r="D95" s="59">
        <v>2.3225758836121754E-2</v>
      </c>
      <c r="E95" s="30">
        <v>0.66086970689585833</v>
      </c>
      <c r="F95" s="30">
        <v>7.8089779661351541E-2</v>
      </c>
      <c r="G95" s="30">
        <v>1.9741059840713344E-2</v>
      </c>
      <c r="H95" s="30">
        <v>6.5473414029834934E-2</v>
      </c>
      <c r="I95" s="30">
        <v>-1.5652603317820403E-2</v>
      </c>
      <c r="J95" s="30">
        <v>4.5679877609290688E-2</v>
      </c>
      <c r="K95" s="32">
        <v>0.12257300644464979</v>
      </c>
      <c r="L95" s="32">
        <v>1</v>
      </c>
    </row>
    <row r="96" spans="1:12">
      <c r="A96" s="10">
        <v>5</v>
      </c>
      <c r="B96" s="10" t="s">
        <v>83</v>
      </c>
      <c r="C96" s="12" t="s">
        <v>84</v>
      </c>
      <c r="D96" s="59">
        <v>1.2328778189162481E-2</v>
      </c>
      <c r="E96" s="30">
        <v>0.16421011906786739</v>
      </c>
      <c r="F96" s="30">
        <v>7.6622922079814151E-2</v>
      </c>
      <c r="G96" s="30">
        <v>0.11001506717340921</v>
      </c>
      <c r="H96" s="30">
        <v>0.21121939211297344</v>
      </c>
      <c r="I96" s="30">
        <v>-1.2557844458129963E-2</v>
      </c>
      <c r="J96" s="30">
        <v>5.8672637957555153E-2</v>
      </c>
      <c r="K96" s="32">
        <v>0.37948892787734817</v>
      </c>
      <c r="L96" s="32">
        <v>1</v>
      </c>
    </row>
    <row r="97" spans="1:12">
      <c r="A97" s="10">
        <v>6</v>
      </c>
      <c r="B97" s="10" t="s">
        <v>85</v>
      </c>
      <c r="C97" s="12" t="s">
        <v>86</v>
      </c>
      <c r="D97" s="59">
        <v>1.3618418419485421E-2</v>
      </c>
      <c r="E97" s="30">
        <v>0.22260035835902137</v>
      </c>
      <c r="F97" s="30">
        <v>0.38198953270038116</v>
      </c>
      <c r="G97" s="30">
        <v>1.0061458701531896E-2</v>
      </c>
      <c r="H97" s="30">
        <v>2.5297034942270934E-2</v>
      </c>
      <c r="I97" s="30">
        <v>6.1519238051895115E-3</v>
      </c>
      <c r="J97" s="30">
        <v>6.8531993200153865E-2</v>
      </c>
      <c r="K97" s="32">
        <v>0.27174927987196612</v>
      </c>
      <c r="L97" s="32">
        <v>1</v>
      </c>
    </row>
    <row r="98" spans="1:12">
      <c r="A98" s="10">
        <v>7</v>
      </c>
      <c r="B98" s="10" t="s">
        <v>87</v>
      </c>
      <c r="C98" s="12" t="s">
        <v>88</v>
      </c>
      <c r="D98" s="59">
        <v>7.9782935467956374E-3</v>
      </c>
      <c r="E98" s="30">
        <v>0.56390224368443265</v>
      </c>
      <c r="F98" s="30">
        <v>6.7357666679579695E-2</v>
      </c>
      <c r="G98" s="30">
        <v>4.065359601665576E-2</v>
      </c>
      <c r="H98" s="30">
        <v>7.9599844057502978E-2</v>
      </c>
      <c r="I98" s="30">
        <v>1.2664088895300595E-3</v>
      </c>
      <c r="J98" s="30">
        <v>4.7776891046604944E-2</v>
      </c>
      <c r="K98" s="32">
        <v>0.19146505607889819</v>
      </c>
      <c r="L98" s="32">
        <v>1</v>
      </c>
    </row>
    <row r="99" spans="1:12">
      <c r="A99" s="10">
        <v>8</v>
      </c>
      <c r="B99" s="10" t="s">
        <v>89</v>
      </c>
      <c r="C99" s="12" t="s">
        <v>182</v>
      </c>
      <c r="D99" s="59">
        <v>4.9568297805659975E-3</v>
      </c>
      <c r="E99" s="30">
        <v>0.14343250534929217</v>
      </c>
      <c r="F99" s="30">
        <v>3.9170317706468123E-2</v>
      </c>
      <c r="G99" s="30">
        <v>3.5372436288909383E-2</v>
      </c>
      <c r="H99" s="30">
        <v>7.4198278515473948E-2</v>
      </c>
      <c r="I99" s="30">
        <v>-7.8715975861657714E-3</v>
      </c>
      <c r="J99" s="30">
        <v>0.15522078563191541</v>
      </c>
      <c r="K99" s="32">
        <v>0.55552044431354075</v>
      </c>
      <c r="L99" s="32">
        <v>1</v>
      </c>
    </row>
    <row r="100" spans="1:12">
      <c r="A100" s="10">
        <v>9</v>
      </c>
      <c r="B100" s="10" t="s">
        <v>91</v>
      </c>
      <c r="C100" s="12" t="s">
        <v>92</v>
      </c>
      <c r="D100" s="59">
        <v>2.374625867087509E-3</v>
      </c>
      <c r="E100" s="30">
        <v>4.2050330966566588E-2</v>
      </c>
      <c r="F100" s="30">
        <v>2.096286543767021E-2</v>
      </c>
      <c r="G100" s="30">
        <v>0.18370881873314496</v>
      </c>
      <c r="H100" s="30">
        <v>0.27629298663682078</v>
      </c>
      <c r="I100" s="30">
        <v>-5.2829599704558798E-2</v>
      </c>
      <c r="J100" s="30">
        <v>0.24595505219253583</v>
      </c>
      <c r="K100" s="32">
        <v>0.28148491987073282</v>
      </c>
      <c r="L100" s="32">
        <v>1</v>
      </c>
    </row>
    <row r="101" spans="1:12">
      <c r="A101" s="10">
        <v>10</v>
      </c>
      <c r="B101" s="10" t="s">
        <v>93</v>
      </c>
      <c r="C101" s="12" t="s">
        <v>94</v>
      </c>
      <c r="D101" s="59">
        <v>4.6743237248177003E-4</v>
      </c>
      <c r="E101" s="30">
        <v>1.0149759126006706E-2</v>
      </c>
      <c r="F101" s="30">
        <v>3.7994214516682834E-3</v>
      </c>
      <c r="G101" s="30">
        <v>5.1943125624997102E-2</v>
      </c>
      <c r="H101" s="30">
        <v>9.1276205798798984E-2</v>
      </c>
      <c r="I101" s="30">
        <v>-1.0855308376450922E-2</v>
      </c>
      <c r="J101" s="30">
        <v>0.23509225860457281</v>
      </c>
      <c r="K101" s="32">
        <v>0.61812710539792515</v>
      </c>
      <c r="L101" s="32">
        <v>1</v>
      </c>
    </row>
    <row r="102" spans="1:12">
      <c r="A102" s="10">
        <v>11</v>
      </c>
      <c r="B102" s="10" t="s">
        <v>95</v>
      </c>
      <c r="C102" s="12" t="s">
        <v>96</v>
      </c>
      <c r="D102" s="59">
        <v>6.6544881366300244E-4</v>
      </c>
      <c r="E102" s="30">
        <v>2.9138405284492429E-2</v>
      </c>
      <c r="F102" s="30">
        <v>1.1251606212454397E-2</v>
      </c>
      <c r="G102" s="30">
        <v>2.4793906461992032E-2</v>
      </c>
      <c r="H102" s="30">
        <v>3.6200278942126227E-2</v>
      </c>
      <c r="I102" s="30">
        <v>-8.6598795438057041E-3</v>
      </c>
      <c r="J102" s="30">
        <v>0.29504513769056573</v>
      </c>
      <c r="K102" s="32">
        <v>0.61156509613851195</v>
      </c>
      <c r="L102" s="32">
        <v>1</v>
      </c>
    </row>
    <row r="103" spans="1:12">
      <c r="A103" s="10">
        <v>12</v>
      </c>
      <c r="B103" s="10" t="s">
        <v>97</v>
      </c>
      <c r="C103" s="12" t="s">
        <v>98</v>
      </c>
      <c r="D103" s="59">
        <v>3.7459032773433298E-3</v>
      </c>
      <c r="E103" s="30">
        <v>5.9443089061140431E-2</v>
      </c>
      <c r="F103" s="30">
        <v>1.7937581367849422E-2</v>
      </c>
      <c r="G103" s="30">
        <v>0.16366578880452595</v>
      </c>
      <c r="H103" s="30">
        <v>0.27732746519040075</v>
      </c>
      <c r="I103" s="30">
        <v>-1.9028177107782419E-2</v>
      </c>
      <c r="J103" s="30">
        <v>0.1494752698740969</v>
      </c>
      <c r="K103" s="32">
        <v>0.34743307953242547</v>
      </c>
      <c r="L103" s="32">
        <v>1</v>
      </c>
    </row>
    <row r="104" spans="1:12">
      <c r="A104" s="10">
        <v>13</v>
      </c>
      <c r="B104" s="10" t="s">
        <v>99</v>
      </c>
      <c r="C104" s="12" t="s">
        <v>183</v>
      </c>
      <c r="D104" s="59">
        <v>4.0581197426806407E-4</v>
      </c>
      <c r="E104" s="30">
        <v>1.7289686812726249E-2</v>
      </c>
      <c r="F104" s="30">
        <v>6.7127244246951477E-3</v>
      </c>
      <c r="G104" s="30">
        <v>5.1602250075276287E-2</v>
      </c>
      <c r="H104" s="30">
        <v>0.51379997353792284</v>
      </c>
      <c r="I104" s="30">
        <v>-3.1429679359977328E-2</v>
      </c>
      <c r="J104" s="30">
        <v>0.14613515300304125</v>
      </c>
      <c r="K104" s="32">
        <v>0.29548407953204753</v>
      </c>
      <c r="L104" s="32">
        <v>1</v>
      </c>
    </row>
    <row r="105" spans="1:12">
      <c r="A105" s="10">
        <v>14</v>
      </c>
      <c r="B105" s="10" t="s">
        <v>100</v>
      </c>
      <c r="C105" s="12" t="s">
        <v>184</v>
      </c>
      <c r="D105" s="59">
        <v>2.9521679003579471E-4</v>
      </c>
      <c r="E105" s="30">
        <v>1.0287165108972996E-2</v>
      </c>
      <c r="F105" s="30">
        <v>4.7861925181087051E-3</v>
      </c>
      <c r="G105" s="30">
        <v>6.3685528733192134E-3</v>
      </c>
      <c r="H105" s="30">
        <v>0.6514629122259753</v>
      </c>
      <c r="I105" s="30">
        <v>-3.1701383717170829E-2</v>
      </c>
      <c r="J105" s="30">
        <v>0.17142918355180112</v>
      </c>
      <c r="K105" s="32">
        <v>0.18707216064895765</v>
      </c>
      <c r="L105" s="32">
        <v>1</v>
      </c>
    </row>
    <row r="106" spans="1:12">
      <c r="A106" s="10">
        <v>15</v>
      </c>
      <c r="B106" s="10" t="s">
        <v>101</v>
      </c>
      <c r="C106" s="12" t="s">
        <v>185</v>
      </c>
      <c r="D106" s="59">
        <v>2.4063721297412884E-3</v>
      </c>
      <c r="E106" s="30">
        <v>5.4864496615611519E-2</v>
      </c>
      <c r="F106" s="30">
        <v>0.12886240454948228</v>
      </c>
      <c r="G106" s="30">
        <v>9.6975534293544649E-2</v>
      </c>
      <c r="H106" s="30">
        <v>0.54465730590216177</v>
      </c>
      <c r="I106" s="30">
        <v>-3.333894175641635E-2</v>
      </c>
      <c r="J106" s="30">
        <v>6.1402040049319116E-2</v>
      </c>
      <c r="K106" s="32">
        <v>0.14417078821655574</v>
      </c>
      <c r="L106" s="32">
        <v>1</v>
      </c>
    </row>
    <row r="107" spans="1:12">
      <c r="A107" s="10">
        <v>16</v>
      </c>
      <c r="B107" s="10" t="s">
        <v>102</v>
      </c>
      <c r="C107" s="12" t="s">
        <v>186</v>
      </c>
      <c r="D107" s="59">
        <v>3.732693623002508E-4</v>
      </c>
      <c r="E107" s="30">
        <v>1.7425505873854847E-2</v>
      </c>
      <c r="F107" s="30">
        <v>6.8871819282756482E-3</v>
      </c>
      <c r="G107" s="30">
        <v>4.9012529365518231E-3</v>
      </c>
      <c r="H107" s="30">
        <v>1.8338111169619538E-2</v>
      </c>
      <c r="I107" s="30">
        <v>3.1536684860729324E-3</v>
      </c>
      <c r="J107" s="30">
        <v>0.41788649884498602</v>
      </c>
      <c r="K107" s="32">
        <v>0.53103451139833902</v>
      </c>
      <c r="L107" s="32">
        <v>1</v>
      </c>
    </row>
    <row r="108" spans="1:12">
      <c r="A108" s="10">
        <v>17</v>
      </c>
      <c r="B108" s="10" t="s">
        <v>104</v>
      </c>
      <c r="C108" s="12" t="s">
        <v>105</v>
      </c>
      <c r="D108" s="59">
        <v>4.4596700928468463E-3</v>
      </c>
      <c r="E108" s="30">
        <v>0.32602865208857917</v>
      </c>
      <c r="F108" s="30">
        <v>7.5273827338308719E-3</v>
      </c>
      <c r="G108" s="30">
        <v>5.1103996569723475E-2</v>
      </c>
      <c r="H108" s="30">
        <v>0.32901766780931641</v>
      </c>
      <c r="I108" s="30">
        <v>-1.1533982301440621E-2</v>
      </c>
      <c r="J108" s="30">
        <v>8.9519967473599402E-2</v>
      </c>
      <c r="K108" s="32">
        <v>0.20387664553354445</v>
      </c>
      <c r="L108" s="32">
        <v>1</v>
      </c>
    </row>
    <row r="109" spans="1:12">
      <c r="A109" s="10">
        <v>18</v>
      </c>
      <c r="B109" s="10" t="s">
        <v>106</v>
      </c>
      <c r="C109" s="12" t="s">
        <v>187</v>
      </c>
      <c r="D109" s="59">
        <v>2.9277292678306652E-3</v>
      </c>
      <c r="E109" s="30">
        <v>0.41306478317961587</v>
      </c>
      <c r="F109" s="30">
        <v>4.663002066843989E-3</v>
      </c>
      <c r="G109" s="30">
        <v>0.15028066937298004</v>
      </c>
      <c r="H109" s="30">
        <v>0.41751151980119311</v>
      </c>
      <c r="I109" s="30">
        <v>-4.9524259655687526E-2</v>
      </c>
      <c r="J109" s="30">
        <v>1.0196021976965057E-2</v>
      </c>
      <c r="K109" s="32">
        <v>5.0880533990258749E-2</v>
      </c>
      <c r="L109" s="32">
        <v>1</v>
      </c>
    </row>
    <row r="110" spans="1:12">
      <c r="A110" s="10">
        <v>19</v>
      </c>
      <c r="B110" s="10" t="s">
        <v>108</v>
      </c>
      <c r="C110" s="12" t="s">
        <v>109</v>
      </c>
      <c r="D110" s="59">
        <v>8.3274675098868073E-4</v>
      </c>
      <c r="E110" s="30">
        <v>0.28522587246548126</v>
      </c>
      <c r="F110" s="30">
        <v>2.1335225512030258E-2</v>
      </c>
      <c r="G110" s="30">
        <v>5.0555107035579964E-2</v>
      </c>
      <c r="H110" s="30">
        <v>0.25868753950997858</v>
      </c>
      <c r="I110" s="30">
        <v>-5.126115650642543E-3</v>
      </c>
      <c r="J110" s="30">
        <v>7.5034230692205786E-2</v>
      </c>
      <c r="K110" s="32">
        <v>0.31345539368437808</v>
      </c>
      <c r="L110" s="32">
        <v>1</v>
      </c>
    </row>
    <row r="111" spans="1:12">
      <c r="A111" s="10">
        <v>20</v>
      </c>
      <c r="B111" s="10" t="s">
        <v>110</v>
      </c>
      <c r="C111" s="12" t="s">
        <v>66</v>
      </c>
      <c r="D111" s="59">
        <v>2.5165274560277298E-2</v>
      </c>
      <c r="E111" s="30">
        <v>0.41372964494432468</v>
      </c>
      <c r="F111" s="30">
        <v>0.10109350855248295</v>
      </c>
      <c r="G111" s="30">
        <v>3.3584409446361048E-2</v>
      </c>
      <c r="H111" s="30">
        <v>0.19344563646723381</v>
      </c>
      <c r="I111" s="30">
        <v>-5.9188125208231447E-2</v>
      </c>
      <c r="J111" s="30">
        <v>6.5849031701953248E-2</v>
      </c>
      <c r="K111" s="32">
        <v>0.22632061953559843</v>
      </c>
      <c r="L111" s="32">
        <v>1</v>
      </c>
    </row>
    <row r="112" spans="1:12">
      <c r="A112" s="10">
        <v>21</v>
      </c>
      <c r="B112" s="10" t="s">
        <v>111</v>
      </c>
      <c r="C112" s="12" t="s">
        <v>112</v>
      </c>
      <c r="D112" s="59">
        <v>0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2">
        <v>0</v>
      </c>
      <c r="L112" s="32">
        <v>0</v>
      </c>
    </row>
    <row r="113" spans="1:12">
      <c r="A113" s="10">
        <v>22</v>
      </c>
      <c r="B113" s="10" t="s">
        <v>113</v>
      </c>
      <c r="C113" s="12" t="s">
        <v>188</v>
      </c>
      <c r="D113" s="59">
        <v>1.0070626492619653E-2</v>
      </c>
      <c r="E113" s="30">
        <v>0.44601568145559228</v>
      </c>
      <c r="F113" s="30">
        <v>9.5228056875387088E-2</v>
      </c>
      <c r="G113" s="30">
        <v>1.3986370977491358E-2</v>
      </c>
      <c r="H113" s="30">
        <v>5.0277052685739454E-2</v>
      </c>
      <c r="I113" s="30">
        <v>-8.1291903299223855E-4</v>
      </c>
      <c r="J113" s="30">
        <v>0.10160236401256105</v>
      </c>
      <c r="K113" s="32">
        <v>0.28363276653360142</v>
      </c>
      <c r="L113" s="32">
        <v>1</v>
      </c>
    </row>
    <row r="114" spans="1:12">
      <c r="A114" s="10">
        <v>23</v>
      </c>
      <c r="B114" s="10" t="s">
        <v>115</v>
      </c>
      <c r="C114" s="12" t="s">
        <v>0</v>
      </c>
      <c r="D114" s="59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2">
        <v>0</v>
      </c>
      <c r="L114" s="32">
        <v>0</v>
      </c>
    </row>
    <row r="115" spans="1:12">
      <c r="A115" s="10">
        <v>24</v>
      </c>
      <c r="B115" s="10" t="s">
        <v>116</v>
      </c>
      <c r="C115" s="12" t="s">
        <v>1</v>
      </c>
      <c r="D115" s="59">
        <v>1.8870729496634386E-2</v>
      </c>
      <c r="E115" s="30">
        <v>0.27743905914921069</v>
      </c>
      <c r="F115" s="30">
        <v>0.47002308183102226</v>
      </c>
      <c r="G115" s="30">
        <v>2.3049547273942365E-2</v>
      </c>
      <c r="H115" s="30">
        <v>6.9133459381332363E-2</v>
      </c>
      <c r="I115" s="30">
        <v>-1.0818615599140454E-4</v>
      </c>
      <c r="J115" s="30">
        <v>3.1153318883720419E-2</v>
      </c>
      <c r="K115" s="32">
        <v>0.11043899014012881</v>
      </c>
      <c r="L115" s="32">
        <v>1</v>
      </c>
    </row>
    <row r="116" spans="1:12">
      <c r="A116" s="10">
        <v>25</v>
      </c>
      <c r="B116" s="10" t="s">
        <v>117</v>
      </c>
      <c r="C116" s="12" t="s">
        <v>67</v>
      </c>
      <c r="D116" s="59">
        <v>2.3619059747710253E-2</v>
      </c>
      <c r="E116" s="30">
        <v>0.54253257693746804</v>
      </c>
      <c r="F116" s="30">
        <v>4.7507494481422642E-2</v>
      </c>
      <c r="G116" s="30">
        <v>2.9123255101081016E-2</v>
      </c>
      <c r="H116" s="30">
        <v>0.1502339375983088</v>
      </c>
      <c r="I116" s="30">
        <v>1.7205085577239026E-3</v>
      </c>
      <c r="J116" s="30">
        <v>4.8067766243235735E-2</v>
      </c>
      <c r="K116" s="32">
        <v>0.15719540133304957</v>
      </c>
      <c r="L116" s="32">
        <v>1</v>
      </c>
    </row>
    <row r="117" spans="1:12">
      <c r="A117" s="10">
        <v>26</v>
      </c>
      <c r="B117" s="10" t="s">
        <v>118</v>
      </c>
      <c r="C117" s="12" t="s">
        <v>68</v>
      </c>
      <c r="D117" s="59">
        <v>4.557487606753354E-3</v>
      </c>
      <c r="E117" s="30">
        <v>0.71440308652828222</v>
      </c>
      <c r="F117" s="30">
        <v>5.8654274718120618E-2</v>
      </c>
      <c r="G117" s="30">
        <v>1.74479569329604E-2</v>
      </c>
      <c r="H117" s="30">
        <v>4.6305495259968812E-2</v>
      </c>
      <c r="I117" s="30">
        <v>-2.7641934257150997E-4</v>
      </c>
      <c r="J117" s="30">
        <v>4.0928875348644665E-2</v>
      </c>
      <c r="K117" s="32">
        <v>0.11797924294784146</v>
      </c>
      <c r="L117" s="32">
        <v>1</v>
      </c>
    </row>
    <row r="118" spans="1:12">
      <c r="A118" s="10">
        <v>27</v>
      </c>
      <c r="B118" s="10" t="s">
        <v>119</v>
      </c>
      <c r="C118" s="12" t="s">
        <v>120</v>
      </c>
      <c r="D118" s="59">
        <v>2.7491188146509019E-3</v>
      </c>
      <c r="E118" s="30">
        <v>0.89021206630521077</v>
      </c>
      <c r="F118" s="30">
        <v>2.1931163787973246E-2</v>
      </c>
      <c r="G118" s="30">
        <v>4.448565673131964E-3</v>
      </c>
      <c r="H118" s="30">
        <v>3.5320602086163728E-2</v>
      </c>
      <c r="I118" s="30">
        <v>-2.0587586748143412E-6</v>
      </c>
      <c r="J118" s="30">
        <v>9.3650650012666019E-3</v>
      </c>
      <c r="K118" s="32">
        <v>3.5975477090277728E-2</v>
      </c>
      <c r="L118" s="32">
        <v>1</v>
      </c>
    </row>
    <row r="119" spans="1:12">
      <c r="A119" s="10">
        <v>28</v>
      </c>
      <c r="B119" s="10" t="s">
        <v>121</v>
      </c>
      <c r="C119" s="12" t="s">
        <v>189</v>
      </c>
      <c r="D119" s="59">
        <v>1.8058788183912069E-2</v>
      </c>
      <c r="E119" s="30">
        <v>0.3472457918282813</v>
      </c>
      <c r="F119" s="30">
        <v>0.10210196023878559</v>
      </c>
      <c r="G119" s="30">
        <v>4.9010948105411185E-2</v>
      </c>
      <c r="H119" s="30">
        <v>0.12241332409952776</v>
      </c>
      <c r="I119" s="30">
        <v>7.0636947997566011E-4</v>
      </c>
      <c r="J119" s="30">
        <v>7.1504860337815696E-2</v>
      </c>
      <c r="K119" s="32">
        <v>0.28895795772629063</v>
      </c>
      <c r="L119" s="32">
        <v>1</v>
      </c>
    </row>
    <row r="120" spans="1:12">
      <c r="A120" s="10">
        <v>29</v>
      </c>
      <c r="B120" s="10" t="s">
        <v>123</v>
      </c>
      <c r="C120" s="12" t="s">
        <v>190</v>
      </c>
      <c r="D120" s="59">
        <v>8.1009928896290141E-3</v>
      </c>
      <c r="E120" s="30">
        <v>0.44379833164606608</v>
      </c>
      <c r="F120" s="30">
        <v>6.8241412680511246E-2</v>
      </c>
      <c r="G120" s="30">
        <v>4.8734758014277638E-2</v>
      </c>
      <c r="H120" s="30">
        <v>0.27584034798256629</v>
      </c>
      <c r="I120" s="30">
        <v>-8.1299712467742765E-4</v>
      </c>
      <c r="J120" s="30">
        <v>3.5669806536000402E-2</v>
      </c>
      <c r="K120" s="32">
        <v>0.12042734737562676</v>
      </c>
      <c r="L120" s="32">
        <v>1</v>
      </c>
    </row>
    <row r="121" spans="1:12">
      <c r="A121" s="10">
        <v>30</v>
      </c>
      <c r="B121" s="10" t="s">
        <v>125</v>
      </c>
      <c r="C121" s="12" t="s">
        <v>69</v>
      </c>
      <c r="D121" s="59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2">
        <v>0</v>
      </c>
      <c r="L121" s="32">
        <v>0</v>
      </c>
    </row>
    <row r="122" spans="1:12">
      <c r="A122" s="10">
        <v>31</v>
      </c>
      <c r="B122" s="10" t="s">
        <v>126</v>
      </c>
      <c r="C122" s="12" t="s">
        <v>127</v>
      </c>
      <c r="D122" s="59">
        <v>8.1365412887282298E-5</v>
      </c>
      <c r="E122" s="30">
        <v>8.1923270057259523E-2</v>
      </c>
      <c r="F122" s="30">
        <v>0.39257670024872876</v>
      </c>
      <c r="G122" s="30">
        <v>5.2504874773955837E-2</v>
      </c>
      <c r="H122" s="30">
        <v>0.46718093556798446</v>
      </c>
      <c r="I122" s="30">
        <v>-8.9504038954456369E-6</v>
      </c>
      <c r="J122" s="30">
        <v>1.7567749416628579E-3</v>
      </c>
      <c r="K122" s="32">
        <v>3.985029401416775E-3</v>
      </c>
      <c r="L122" s="32">
        <v>1</v>
      </c>
    </row>
    <row r="123" spans="1:12">
      <c r="A123" s="10">
        <v>32</v>
      </c>
      <c r="B123" s="10" t="s">
        <v>128</v>
      </c>
      <c r="C123" s="12" t="s">
        <v>191</v>
      </c>
      <c r="D123" s="59">
        <v>7.8708258464824411E-3</v>
      </c>
      <c r="E123" s="30">
        <v>0.19230651912703559</v>
      </c>
      <c r="F123" s="30">
        <v>0.7996311256769667</v>
      </c>
      <c r="G123" s="30">
        <v>8.2151671650832794E-6</v>
      </c>
      <c r="H123" s="30">
        <v>3.2831976880445674E-5</v>
      </c>
      <c r="I123" s="30">
        <v>4.4618769499851696E-9</v>
      </c>
      <c r="J123" s="30">
        <v>1.7978001408587483E-5</v>
      </c>
      <c r="K123" s="32">
        <v>1.3249974218414957E-4</v>
      </c>
      <c r="L123" s="32">
        <v>1</v>
      </c>
    </row>
    <row r="124" spans="1:12">
      <c r="A124" s="10">
        <v>33</v>
      </c>
      <c r="B124" s="10" t="s">
        <v>130</v>
      </c>
      <c r="C124" s="12" t="s">
        <v>192</v>
      </c>
      <c r="D124" s="59">
        <v>3.3620240834665283E-3</v>
      </c>
      <c r="E124" s="30">
        <v>0.82052569748864324</v>
      </c>
      <c r="F124" s="30">
        <v>3.2849301511747052E-2</v>
      </c>
      <c r="G124" s="30">
        <v>1.052849819794145E-2</v>
      </c>
      <c r="H124" s="30">
        <v>3.0191797158884114E-2</v>
      </c>
      <c r="I124" s="30">
        <v>-8.8134542137611544E-5</v>
      </c>
      <c r="J124" s="30">
        <v>2.1357904692767674E-2</v>
      </c>
      <c r="K124" s="32">
        <v>8.1272911408687407E-2</v>
      </c>
      <c r="L124" s="32">
        <v>1</v>
      </c>
    </row>
    <row r="125" spans="1:12">
      <c r="A125" s="10">
        <v>34</v>
      </c>
      <c r="B125" s="10" t="s">
        <v>131</v>
      </c>
      <c r="C125" s="12" t="s">
        <v>132</v>
      </c>
      <c r="D125" s="59">
        <v>8.4516858588696755E-3</v>
      </c>
      <c r="E125" s="30">
        <v>0.2814470025282757</v>
      </c>
      <c r="F125" s="30">
        <v>0.13994743395327455</v>
      </c>
      <c r="G125" s="30">
        <v>6.080800432091963E-2</v>
      </c>
      <c r="H125" s="30">
        <v>0.159926354468721</v>
      </c>
      <c r="I125" s="30">
        <v>-3.5785892866137221E-4</v>
      </c>
      <c r="J125" s="30">
        <v>8.6069921203934585E-2</v>
      </c>
      <c r="K125" s="32">
        <v>0.26370745659466599</v>
      </c>
      <c r="L125" s="32">
        <v>1</v>
      </c>
    </row>
    <row r="126" spans="1:12">
      <c r="A126" s="10">
        <v>35</v>
      </c>
      <c r="B126" s="10" t="s">
        <v>133</v>
      </c>
      <c r="C126" s="12" t="s">
        <v>193</v>
      </c>
      <c r="D126" s="59">
        <v>0.12729636380862772</v>
      </c>
      <c r="E126" s="30">
        <v>0.79726774815130541</v>
      </c>
      <c r="F126" s="30">
        <v>4.9117922289849521E-2</v>
      </c>
      <c r="G126" s="30">
        <v>1.5379404328718165E-3</v>
      </c>
      <c r="H126" s="30">
        <v>1.3801503017531637E-2</v>
      </c>
      <c r="I126" s="30">
        <v>-8.1696898515263272E-6</v>
      </c>
      <c r="J126" s="30">
        <v>2.1750849381371078E-3</v>
      </c>
      <c r="K126" s="32">
        <v>8.8116070515284681E-3</v>
      </c>
      <c r="L126" s="32">
        <v>1</v>
      </c>
    </row>
    <row r="127" spans="1:12">
      <c r="A127" s="10">
        <v>36</v>
      </c>
      <c r="B127" s="10" t="s">
        <v>135</v>
      </c>
      <c r="C127" s="12" t="s">
        <v>194</v>
      </c>
      <c r="D127" s="59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2">
        <v>0</v>
      </c>
      <c r="L127" s="32">
        <v>0</v>
      </c>
    </row>
    <row r="128" spans="1:12">
      <c r="A128" s="58">
        <v>37</v>
      </c>
      <c r="B128" s="10" t="s">
        <v>136</v>
      </c>
      <c r="C128" s="12" t="s">
        <v>195</v>
      </c>
      <c r="D128" s="59">
        <v>9.7047414704177076E-3</v>
      </c>
      <c r="E128" s="30">
        <v>0.24696194385875428</v>
      </c>
      <c r="F128" s="30">
        <v>0.10080051063317653</v>
      </c>
      <c r="G128" s="30">
        <v>0.1019763192134968</v>
      </c>
      <c r="H128" s="30">
        <v>0.19492166953392029</v>
      </c>
      <c r="I128" s="30">
        <v>-6.9245130781327125E-4</v>
      </c>
      <c r="J128" s="30">
        <v>8.2145489520063258E-2</v>
      </c>
      <c r="K128" s="32">
        <v>0.26418177707798429</v>
      </c>
      <c r="L128" s="32">
        <v>1</v>
      </c>
    </row>
    <row r="129" spans="1:12">
      <c r="A129" s="6"/>
      <c r="B129" s="17"/>
      <c r="C129" s="13" t="s">
        <v>35</v>
      </c>
      <c r="D129" s="60">
        <v>1.1908219708460529E-2</v>
      </c>
      <c r="E129" s="33">
        <v>0.31458936840219059</v>
      </c>
      <c r="F129" s="33">
        <v>8.1565306263539666E-2</v>
      </c>
      <c r="G129" s="33">
        <v>4.2610692243652791E-2</v>
      </c>
      <c r="H129" s="33">
        <v>0.17784651913095839</v>
      </c>
      <c r="I129" s="33">
        <v>-7.2317082163496499E-3</v>
      </c>
      <c r="J129" s="33">
        <v>0.10326620033751881</v>
      </c>
      <c r="K129" s="35">
        <v>0.27544540213002916</v>
      </c>
      <c r="L129" s="35">
        <v>1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CC89-1BBA-42C9-A0BA-303F871CF6E6}">
  <dimension ref="A1:P43"/>
  <sheetViews>
    <sheetView workbookViewId="0">
      <selection activeCell="D6" sqref="D6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3.796875" style="1" bestFit="1" customWidth="1"/>
    <col min="4" max="7" width="10.59765625" style="1" customWidth="1"/>
    <col min="8" max="8" width="4.09765625" style="1" customWidth="1"/>
    <col min="9" max="9" width="4.19921875" style="1" customWidth="1"/>
    <col min="10" max="10" width="4.09765625" style="1" customWidth="1"/>
    <col min="11" max="11" width="21.59765625" style="1" customWidth="1"/>
    <col min="12" max="16" width="10.59765625" style="1" customWidth="1"/>
    <col min="17" max="16384" width="8.69921875" style="1"/>
  </cols>
  <sheetData>
    <row r="1" spans="1:16">
      <c r="A1" s="1" t="s">
        <v>226</v>
      </c>
      <c r="I1" s="1" t="s">
        <v>226</v>
      </c>
    </row>
    <row r="2" spans="1:16">
      <c r="A2" s="1" t="s">
        <v>33</v>
      </c>
      <c r="I2" s="1" t="s">
        <v>34</v>
      </c>
    </row>
    <row r="3" spans="1:16">
      <c r="A3" s="2"/>
      <c r="B3" s="4"/>
      <c r="C3" s="4"/>
      <c r="D3" s="71" t="s">
        <v>227</v>
      </c>
      <c r="E3" s="71" t="s">
        <v>227</v>
      </c>
      <c r="F3" s="5"/>
      <c r="G3" s="3"/>
      <c r="H3" s="19"/>
      <c r="I3" s="2"/>
      <c r="J3" s="4"/>
      <c r="K3" s="4"/>
      <c r="L3" s="76" t="s">
        <v>47</v>
      </c>
      <c r="M3" s="77"/>
      <c r="N3" s="71" t="s">
        <v>227</v>
      </c>
      <c r="O3" s="76" t="s">
        <v>228</v>
      </c>
      <c r="P3" s="77"/>
    </row>
    <row r="4" spans="1:16">
      <c r="A4" s="10"/>
      <c r="B4" s="16"/>
      <c r="C4" s="16" t="s">
        <v>225</v>
      </c>
      <c r="D4" s="45" t="s">
        <v>37</v>
      </c>
      <c r="E4" s="46" t="s">
        <v>40</v>
      </c>
      <c r="F4" s="46" t="s">
        <v>43</v>
      </c>
      <c r="G4" s="47" t="s">
        <v>44</v>
      </c>
      <c r="H4" s="19"/>
      <c r="I4" s="10"/>
      <c r="J4" s="16"/>
      <c r="K4" s="16" t="s">
        <v>225</v>
      </c>
      <c r="L4" s="45" t="s">
        <v>48</v>
      </c>
      <c r="M4" s="48" t="s">
        <v>49</v>
      </c>
      <c r="N4" s="46" t="s">
        <v>50</v>
      </c>
      <c r="O4" s="49" t="s">
        <v>51</v>
      </c>
      <c r="P4" s="75" t="s">
        <v>52</v>
      </c>
    </row>
    <row r="5" spans="1:16">
      <c r="A5" s="6"/>
      <c r="B5" s="15"/>
      <c r="C5" s="40"/>
      <c r="D5" s="41" t="s">
        <v>39</v>
      </c>
      <c r="E5" s="44" t="s">
        <v>42</v>
      </c>
      <c r="F5" s="44" t="s">
        <v>45</v>
      </c>
      <c r="G5" s="43" t="s">
        <v>46</v>
      </c>
      <c r="H5" s="39"/>
      <c r="I5" s="6"/>
      <c r="J5" s="15"/>
      <c r="K5" s="40"/>
      <c r="L5" s="41" t="s">
        <v>38</v>
      </c>
      <c r="M5" s="44" t="s">
        <v>41</v>
      </c>
      <c r="N5" s="44" t="s">
        <v>53</v>
      </c>
      <c r="O5" s="42" t="s">
        <v>54</v>
      </c>
      <c r="P5" s="44" t="s">
        <v>55</v>
      </c>
    </row>
    <row r="6" spans="1:16">
      <c r="A6" s="10">
        <v>1</v>
      </c>
      <c r="B6" s="10" t="s">
        <v>75</v>
      </c>
      <c r="C6" s="12" t="s">
        <v>179</v>
      </c>
      <c r="D6" s="21">
        <f>取引基本表!AW6</f>
        <v>224710</v>
      </c>
      <c r="E6" s="22">
        <f>-取引基本表!BI6</f>
        <v>117397</v>
      </c>
      <c r="F6" s="31">
        <f>IFERROR(E6/D6,0)</f>
        <v>0.52243780873125356</v>
      </c>
      <c r="G6" s="30">
        <f>1-F6</f>
        <v>0.47756219126874644</v>
      </c>
      <c r="H6" s="31"/>
      <c r="I6" s="10">
        <v>1</v>
      </c>
      <c r="J6" s="2" t="s">
        <v>75</v>
      </c>
      <c r="K6" s="12" t="s">
        <v>179</v>
      </c>
      <c r="L6" s="72">
        <f>雇用表!D8</f>
        <v>96227</v>
      </c>
      <c r="M6" s="73">
        <f>雇用表!I8</f>
        <v>28823</v>
      </c>
      <c r="N6" s="22">
        <f>取引基本表!BK6</f>
        <v>353216</v>
      </c>
      <c r="O6" s="30">
        <f>L6/N6</f>
        <v>0.27243103370175759</v>
      </c>
      <c r="P6" s="31">
        <f>M6/N6</f>
        <v>8.1601626200398625E-2</v>
      </c>
    </row>
    <row r="7" spans="1:16">
      <c r="A7" s="10">
        <v>2</v>
      </c>
      <c r="B7" s="10" t="s">
        <v>77</v>
      </c>
      <c r="C7" s="12" t="s">
        <v>180</v>
      </c>
      <c r="D7" s="21">
        <f>取引基本表!AW7</f>
        <v>22402</v>
      </c>
      <c r="E7" s="22">
        <f>-取引基本表!BI7</f>
        <v>18356</v>
      </c>
      <c r="F7" s="31">
        <f t="shared" ref="F7:F43" si="0">IFERROR(E7/D7,0)</f>
        <v>0.81939112579233997</v>
      </c>
      <c r="G7" s="30">
        <f t="shared" ref="G7:G43" si="1">1-F7</f>
        <v>0.18060887420766003</v>
      </c>
      <c r="H7" s="31"/>
      <c r="I7" s="10">
        <v>2</v>
      </c>
      <c r="J7" s="10" t="s">
        <v>77</v>
      </c>
      <c r="K7" s="12" t="s">
        <v>180</v>
      </c>
      <c r="L7" s="72">
        <f>雇用表!D9</f>
        <v>332</v>
      </c>
      <c r="M7" s="73">
        <f>雇用表!I9</f>
        <v>258</v>
      </c>
      <c r="N7" s="22">
        <f>取引基本表!BK7</f>
        <v>4219</v>
      </c>
      <c r="O7" s="30">
        <f t="shared" ref="O7:O43" si="2">L7/N7</f>
        <v>7.8691633088409582E-2</v>
      </c>
      <c r="P7" s="31">
        <f t="shared" ref="P7:P43" si="3">M7/N7</f>
        <v>6.1151931737378526E-2</v>
      </c>
    </row>
    <row r="8" spans="1:16">
      <c r="A8" s="10">
        <v>3</v>
      </c>
      <c r="B8" s="10" t="s">
        <v>79</v>
      </c>
      <c r="C8" s="12" t="s">
        <v>181</v>
      </c>
      <c r="D8" s="21">
        <f>取引基本表!AW8</f>
        <v>682279</v>
      </c>
      <c r="E8" s="22">
        <f>-取引基本表!BI8</f>
        <v>549593</v>
      </c>
      <c r="F8" s="31">
        <f t="shared" si="0"/>
        <v>0.8055253056301015</v>
      </c>
      <c r="G8" s="30">
        <f t="shared" si="1"/>
        <v>0.1944746943698985</v>
      </c>
      <c r="H8" s="31"/>
      <c r="I8" s="10">
        <v>3</v>
      </c>
      <c r="J8" s="10" t="s">
        <v>79</v>
      </c>
      <c r="K8" s="12" t="s">
        <v>181</v>
      </c>
      <c r="L8" s="72">
        <f>雇用表!D10</f>
        <v>28003</v>
      </c>
      <c r="M8" s="73">
        <f>雇用表!I10</f>
        <v>24996</v>
      </c>
      <c r="N8" s="22">
        <f>取引基本表!BK8</f>
        <v>684872</v>
      </c>
      <c r="O8" s="30">
        <f t="shared" si="2"/>
        <v>4.0887932343562007E-2</v>
      </c>
      <c r="P8" s="31">
        <f t="shared" si="3"/>
        <v>3.6497330888107561E-2</v>
      </c>
    </row>
    <row r="9" spans="1:16">
      <c r="A9" s="10">
        <v>4</v>
      </c>
      <c r="B9" s="10" t="s">
        <v>81</v>
      </c>
      <c r="C9" s="12" t="s">
        <v>82</v>
      </c>
      <c r="D9" s="21">
        <f>取引基本表!AW9</f>
        <v>96688</v>
      </c>
      <c r="E9" s="22">
        <f>-取引基本表!BI9</f>
        <v>93043</v>
      </c>
      <c r="F9" s="31">
        <f t="shared" si="0"/>
        <v>0.96230142313420486</v>
      </c>
      <c r="G9" s="30">
        <f t="shared" si="1"/>
        <v>3.7698576865795141E-2</v>
      </c>
      <c r="H9" s="31"/>
      <c r="I9" s="10">
        <v>4</v>
      </c>
      <c r="J9" s="10" t="s">
        <v>81</v>
      </c>
      <c r="K9" s="12" t="s">
        <v>82</v>
      </c>
      <c r="L9" s="72">
        <f>雇用表!D11</f>
        <v>2856</v>
      </c>
      <c r="M9" s="73">
        <f>雇用表!I11</f>
        <v>1790</v>
      </c>
      <c r="N9" s="22">
        <f>取引基本表!BK9</f>
        <v>14463</v>
      </c>
      <c r="O9" s="30">
        <f t="shared" si="2"/>
        <v>0.19746940468782409</v>
      </c>
      <c r="P9" s="31">
        <f t="shared" si="3"/>
        <v>0.1237640876719906</v>
      </c>
    </row>
    <row r="10" spans="1:16">
      <c r="A10" s="10">
        <v>5</v>
      </c>
      <c r="B10" s="10" t="s">
        <v>83</v>
      </c>
      <c r="C10" s="12" t="s">
        <v>84</v>
      </c>
      <c r="D10" s="21">
        <f>取引基本表!AW10</f>
        <v>209280</v>
      </c>
      <c r="E10" s="22">
        <f>-取引基本表!BI10</f>
        <v>148921</v>
      </c>
      <c r="F10" s="31">
        <f t="shared" si="0"/>
        <v>0.7115873470948012</v>
      </c>
      <c r="G10" s="30">
        <f t="shared" si="1"/>
        <v>0.2884126529051988</v>
      </c>
      <c r="H10" s="31"/>
      <c r="I10" s="10">
        <v>5</v>
      </c>
      <c r="J10" s="10" t="s">
        <v>83</v>
      </c>
      <c r="K10" s="12" t="s">
        <v>84</v>
      </c>
      <c r="L10" s="72">
        <f>雇用表!D12</f>
        <v>7733</v>
      </c>
      <c r="M10" s="73">
        <f>雇用表!I12</f>
        <v>5042</v>
      </c>
      <c r="N10" s="22">
        <f>取引基本表!BK10</f>
        <v>124358</v>
      </c>
      <c r="O10" s="30">
        <f t="shared" si="2"/>
        <v>6.2183373807877258E-2</v>
      </c>
      <c r="P10" s="31">
        <f t="shared" si="3"/>
        <v>4.0544235191945832E-2</v>
      </c>
    </row>
    <row r="11" spans="1:16">
      <c r="A11" s="10">
        <v>6</v>
      </c>
      <c r="B11" s="10" t="s">
        <v>85</v>
      </c>
      <c r="C11" s="12" t="s">
        <v>86</v>
      </c>
      <c r="D11" s="21">
        <f>取引基本表!AW11</f>
        <v>382269</v>
      </c>
      <c r="E11" s="22">
        <f>-取引基本表!BI11</f>
        <v>373827</v>
      </c>
      <c r="F11" s="31">
        <f t="shared" si="0"/>
        <v>0.97791607480596121</v>
      </c>
      <c r="G11" s="30">
        <f t="shared" si="1"/>
        <v>2.2083925194038789E-2</v>
      </c>
      <c r="H11" s="31"/>
      <c r="I11" s="10">
        <v>6</v>
      </c>
      <c r="J11" s="10" t="s">
        <v>85</v>
      </c>
      <c r="K11" s="12" t="s">
        <v>86</v>
      </c>
      <c r="L11" s="72">
        <f>雇用表!D13</f>
        <v>2549</v>
      </c>
      <c r="M11" s="73">
        <f>雇用表!I13</f>
        <v>2420</v>
      </c>
      <c r="N11" s="22">
        <f>取引基本表!BK11</f>
        <v>133079</v>
      </c>
      <c r="O11" s="30">
        <f t="shared" si="2"/>
        <v>1.9154036324288581E-2</v>
      </c>
      <c r="P11" s="31">
        <f t="shared" si="3"/>
        <v>1.8184687291007598E-2</v>
      </c>
    </row>
    <row r="12" spans="1:16">
      <c r="A12" s="10">
        <v>7</v>
      </c>
      <c r="B12" s="10" t="s">
        <v>87</v>
      </c>
      <c r="C12" s="12" t="s">
        <v>88</v>
      </c>
      <c r="D12" s="21">
        <f>取引基本表!AW12</f>
        <v>242004</v>
      </c>
      <c r="E12" s="22">
        <f>-取引基本表!BI12</f>
        <v>233941</v>
      </c>
      <c r="F12" s="31">
        <f t="shared" si="0"/>
        <v>0.96668236888646464</v>
      </c>
      <c r="G12" s="30">
        <f t="shared" si="1"/>
        <v>3.3317631113535362E-2</v>
      </c>
      <c r="H12" s="31"/>
      <c r="I12" s="10">
        <v>7</v>
      </c>
      <c r="J12" s="10" t="s">
        <v>87</v>
      </c>
      <c r="K12" s="12" t="s">
        <v>88</v>
      </c>
      <c r="L12" s="72">
        <f>雇用表!D14</f>
        <v>233</v>
      </c>
      <c r="M12" s="73">
        <f>雇用表!I14</f>
        <v>187</v>
      </c>
      <c r="N12" s="22">
        <f>取引基本表!BK12</f>
        <v>8117</v>
      </c>
      <c r="O12" s="30">
        <f t="shared" si="2"/>
        <v>2.8705186645312308E-2</v>
      </c>
      <c r="P12" s="31">
        <f t="shared" si="3"/>
        <v>2.3038068251817173E-2</v>
      </c>
    </row>
    <row r="13" spans="1:16">
      <c r="A13" s="10">
        <v>8</v>
      </c>
      <c r="B13" s="10" t="s">
        <v>89</v>
      </c>
      <c r="C13" s="12" t="s">
        <v>182</v>
      </c>
      <c r="D13" s="21">
        <f>取引基本表!AW13</f>
        <v>232508</v>
      </c>
      <c r="E13" s="22">
        <f>-取引基本表!BI13</f>
        <v>208451</v>
      </c>
      <c r="F13" s="31">
        <f t="shared" si="0"/>
        <v>0.89653259242692729</v>
      </c>
      <c r="G13" s="30">
        <f t="shared" si="1"/>
        <v>0.10346740757307271</v>
      </c>
      <c r="H13" s="31"/>
      <c r="I13" s="10">
        <v>8</v>
      </c>
      <c r="J13" s="10" t="s">
        <v>89</v>
      </c>
      <c r="K13" s="12" t="s">
        <v>182</v>
      </c>
      <c r="L13" s="72">
        <f>雇用表!D15</f>
        <v>12667</v>
      </c>
      <c r="M13" s="73">
        <f>雇用表!I15</f>
        <v>11466</v>
      </c>
      <c r="N13" s="22">
        <f>取引基本表!BK13</f>
        <v>196629</v>
      </c>
      <c r="O13" s="30">
        <f t="shared" si="2"/>
        <v>6.4420812799739616E-2</v>
      </c>
      <c r="P13" s="31">
        <f t="shared" si="3"/>
        <v>5.8312863311108735E-2</v>
      </c>
    </row>
    <row r="14" spans="1:16">
      <c r="A14" s="10">
        <v>9</v>
      </c>
      <c r="B14" s="10" t="s">
        <v>91</v>
      </c>
      <c r="C14" s="12" t="s">
        <v>92</v>
      </c>
      <c r="D14" s="21">
        <f>取引基本表!AW14</f>
        <v>131673</v>
      </c>
      <c r="E14" s="22">
        <f>-取引基本表!BI14</f>
        <v>87007</v>
      </c>
      <c r="F14" s="31">
        <f t="shared" si="0"/>
        <v>0.66078087383138528</v>
      </c>
      <c r="G14" s="30">
        <f t="shared" si="1"/>
        <v>0.33921912616861472</v>
      </c>
      <c r="H14" s="31"/>
      <c r="I14" s="10">
        <v>9</v>
      </c>
      <c r="J14" s="10" t="s">
        <v>91</v>
      </c>
      <c r="K14" s="12" t="s">
        <v>92</v>
      </c>
      <c r="L14" s="72">
        <f>雇用表!D16</f>
        <v>6397</v>
      </c>
      <c r="M14" s="73">
        <f>雇用表!I16</f>
        <v>5637</v>
      </c>
      <c r="N14" s="22">
        <f>取引基本表!BK14</f>
        <v>137262</v>
      </c>
      <c r="O14" s="30">
        <f t="shared" si="2"/>
        <v>4.6604304177412542E-2</v>
      </c>
      <c r="P14" s="31">
        <f t="shared" si="3"/>
        <v>4.1067447654849848E-2</v>
      </c>
    </row>
    <row r="15" spans="1:16">
      <c r="A15" s="10">
        <v>10</v>
      </c>
      <c r="B15" s="10" t="s">
        <v>93</v>
      </c>
      <c r="C15" s="12" t="s">
        <v>94</v>
      </c>
      <c r="D15" s="21">
        <f>取引基本表!AW15</f>
        <v>207466</v>
      </c>
      <c r="E15" s="22">
        <f>-取引基本表!BI15</f>
        <v>195798</v>
      </c>
      <c r="F15" s="31">
        <f t="shared" si="0"/>
        <v>0.94375945938129624</v>
      </c>
      <c r="G15" s="30">
        <f t="shared" si="1"/>
        <v>5.624054061870376E-2</v>
      </c>
      <c r="H15" s="31"/>
      <c r="I15" s="10">
        <v>10</v>
      </c>
      <c r="J15" s="10" t="s">
        <v>93</v>
      </c>
      <c r="K15" s="12" t="s">
        <v>94</v>
      </c>
      <c r="L15" s="72">
        <f>雇用表!D17</f>
        <v>1872</v>
      </c>
      <c r="M15" s="73">
        <f>雇用表!I17</f>
        <v>1652</v>
      </c>
      <c r="N15" s="22">
        <f>取引基本表!BK15</f>
        <v>32958</v>
      </c>
      <c r="O15" s="30">
        <f t="shared" si="2"/>
        <v>5.6799563080283999E-2</v>
      </c>
      <c r="P15" s="31">
        <f t="shared" si="3"/>
        <v>5.0124400752472847E-2</v>
      </c>
    </row>
    <row r="16" spans="1:16">
      <c r="A16" s="10">
        <v>11</v>
      </c>
      <c r="B16" s="10" t="s">
        <v>95</v>
      </c>
      <c r="C16" s="12" t="s">
        <v>96</v>
      </c>
      <c r="D16" s="21">
        <f>取引基本表!AW16</f>
        <v>196309</v>
      </c>
      <c r="E16" s="22">
        <f>-取引基本表!BI16</f>
        <v>184888</v>
      </c>
      <c r="F16" s="31">
        <f t="shared" si="0"/>
        <v>0.94182131231884425</v>
      </c>
      <c r="G16" s="30">
        <f t="shared" si="1"/>
        <v>5.817868768115575E-2</v>
      </c>
      <c r="H16" s="31"/>
      <c r="I16" s="10">
        <v>11</v>
      </c>
      <c r="J16" s="10" t="s">
        <v>95</v>
      </c>
      <c r="K16" s="12" t="s">
        <v>96</v>
      </c>
      <c r="L16" s="72">
        <f>雇用表!D18</f>
        <v>4290</v>
      </c>
      <c r="M16" s="73">
        <f>雇用表!I18</f>
        <v>3957</v>
      </c>
      <c r="N16" s="22">
        <f>取引基本表!BK16</f>
        <v>98270</v>
      </c>
      <c r="O16" s="30">
        <f t="shared" si="2"/>
        <v>4.3655235575455378E-2</v>
      </c>
      <c r="P16" s="31">
        <f t="shared" si="3"/>
        <v>4.0266612394423529E-2</v>
      </c>
    </row>
    <row r="17" spans="1:16">
      <c r="A17" s="10">
        <v>12</v>
      </c>
      <c r="B17" s="10" t="s">
        <v>97</v>
      </c>
      <c r="C17" s="12" t="s">
        <v>98</v>
      </c>
      <c r="D17" s="21">
        <f>取引基本表!AW17</f>
        <v>227033</v>
      </c>
      <c r="E17" s="22">
        <f>-取引基本表!BI17</f>
        <v>162470</v>
      </c>
      <c r="F17" s="31">
        <f t="shared" si="0"/>
        <v>0.71562283897054613</v>
      </c>
      <c r="G17" s="30">
        <f t="shared" si="1"/>
        <v>0.28437716102945387</v>
      </c>
      <c r="H17" s="31"/>
      <c r="I17" s="10">
        <v>12</v>
      </c>
      <c r="J17" s="10" t="s">
        <v>97</v>
      </c>
      <c r="K17" s="12" t="s">
        <v>98</v>
      </c>
      <c r="L17" s="72">
        <f>雇用表!D19</f>
        <v>19229</v>
      </c>
      <c r="M17" s="73">
        <f>雇用表!I19</f>
        <v>15869</v>
      </c>
      <c r="N17" s="22">
        <f>取引基本表!BK17</f>
        <v>265795</v>
      </c>
      <c r="O17" s="30">
        <f t="shared" si="2"/>
        <v>7.2345228465546751E-2</v>
      </c>
      <c r="P17" s="31">
        <f t="shared" si="3"/>
        <v>5.9703907146485075E-2</v>
      </c>
    </row>
    <row r="18" spans="1:16">
      <c r="A18" s="10">
        <v>13</v>
      </c>
      <c r="B18" s="10" t="s">
        <v>99</v>
      </c>
      <c r="C18" s="12" t="s">
        <v>183</v>
      </c>
      <c r="D18" s="21">
        <f>取引基本表!AW18</f>
        <v>177381</v>
      </c>
      <c r="E18" s="22">
        <f>-取引基本表!BI18</f>
        <v>157276</v>
      </c>
      <c r="F18" s="31">
        <f t="shared" si="0"/>
        <v>0.88665640626673659</v>
      </c>
      <c r="G18" s="30">
        <f t="shared" si="1"/>
        <v>0.11334359373326341</v>
      </c>
      <c r="H18" s="31"/>
      <c r="I18" s="10">
        <v>13</v>
      </c>
      <c r="J18" s="10" t="s">
        <v>99</v>
      </c>
      <c r="K18" s="12" t="s">
        <v>183</v>
      </c>
      <c r="L18" s="72">
        <f>雇用表!D20</f>
        <v>14781</v>
      </c>
      <c r="M18" s="73">
        <f>雇用表!I20</f>
        <v>13794</v>
      </c>
      <c r="N18" s="22">
        <f>取引基本表!BK18</f>
        <v>292671</v>
      </c>
      <c r="O18" s="30">
        <f t="shared" si="2"/>
        <v>5.0503808030177233E-2</v>
      </c>
      <c r="P18" s="31">
        <f t="shared" si="3"/>
        <v>4.7131420605389669E-2</v>
      </c>
    </row>
    <row r="19" spans="1:16">
      <c r="A19" s="10">
        <v>14</v>
      </c>
      <c r="B19" s="10" t="s">
        <v>100</v>
      </c>
      <c r="C19" s="12" t="s">
        <v>184</v>
      </c>
      <c r="D19" s="21">
        <f>取引基本表!AW19</f>
        <v>257974</v>
      </c>
      <c r="E19" s="22">
        <f>-取引基本表!BI19</f>
        <v>205478</v>
      </c>
      <c r="F19" s="31">
        <f t="shared" si="0"/>
        <v>0.796506624698613</v>
      </c>
      <c r="G19" s="30">
        <f t="shared" si="1"/>
        <v>0.203493375301387</v>
      </c>
      <c r="H19" s="31"/>
      <c r="I19" s="10">
        <v>14</v>
      </c>
      <c r="J19" s="10" t="s">
        <v>100</v>
      </c>
      <c r="K19" s="12" t="s">
        <v>184</v>
      </c>
      <c r="L19" s="72">
        <f>雇用表!D21</f>
        <v>28743</v>
      </c>
      <c r="M19" s="73">
        <f>雇用表!I21</f>
        <v>25481</v>
      </c>
      <c r="N19" s="22">
        <f>取引基本表!BK19</f>
        <v>600605</v>
      </c>
      <c r="O19" s="30">
        <f t="shared" si="2"/>
        <v>4.7856744449346907E-2</v>
      </c>
      <c r="P19" s="31">
        <f t="shared" si="3"/>
        <v>4.2425554232815244E-2</v>
      </c>
    </row>
    <row r="20" spans="1:16">
      <c r="A20" s="10">
        <v>15</v>
      </c>
      <c r="B20" s="10" t="s">
        <v>101</v>
      </c>
      <c r="C20" s="12" t="s">
        <v>185</v>
      </c>
      <c r="D20" s="21">
        <f>取引基本表!AW20</f>
        <v>99419</v>
      </c>
      <c r="E20" s="22">
        <f>-取引基本表!BI20</f>
        <v>72001</v>
      </c>
      <c r="F20" s="31">
        <f t="shared" si="0"/>
        <v>0.72421770486526715</v>
      </c>
      <c r="G20" s="30">
        <f t="shared" si="1"/>
        <v>0.27578229513473285</v>
      </c>
      <c r="H20" s="31"/>
      <c r="I20" s="10">
        <v>15</v>
      </c>
      <c r="J20" s="10" t="s">
        <v>101</v>
      </c>
      <c r="K20" s="12" t="s">
        <v>185</v>
      </c>
      <c r="L20" s="72">
        <f>雇用表!D22</f>
        <v>12434</v>
      </c>
      <c r="M20" s="73">
        <f>雇用表!I22</f>
        <v>11541</v>
      </c>
      <c r="N20" s="22">
        <f>取引基本表!BK20</f>
        <v>207281</v>
      </c>
      <c r="O20" s="30">
        <f t="shared" si="2"/>
        <v>5.998620230508344E-2</v>
      </c>
      <c r="P20" s="31">
        <f t="shared" si="3"/>
        <v>5.5678040920296601E-2</v>
      </c>
    </row>
    <row r="21" spans="1:16">
      <c r="A21" s="10">
        <v>16</v>
      </c>
      <c r="B21" s="10" t="s">
        <v>102</v>
      </c>
      <c r="C21" s="12" t="s">
        <v>186</v>
      </c>
      <c r="D21" s="21">
        <f>取引基本表!AW21</f>
        <v>437159</v>
      </c>
      <c r="E21" s="22">
        <f>-取引基本表!BI21</f>
        <v>411764</v>
      </c>
      <c r="F21" s="31">
        <f t="shared" si="0"/>
        <v>0.94190900793532784</v>
      </c>
      <c r="G21" s="30">
        <f t="shared" si="1"/>
        <v>5.8090992064672164E-2</v>
      </c>
      <c r="H21" s="31"/>
      <c r="I21" s="10">
        <v>16</v>
      </c>
      <c r="J21" s="10" t="s">
        <v>102</v>
      </c>
      <c r="K21" s="12" t="s">
        <v>186</v>
      </c>
      <c r="L21" s="72">
        <f>雇用表!D23</f>
        <v>25588</v>
      </c>
      <c r="M21" s="73">
        <f>雇用表!I23</f>
        <v>24603</v>
      </c>
      <c r="N21" s="22">
        <f>取引基本表!BK21</f>
        <v>628483</v>
      </c>
      <c r="O21" s="30">
        <f t="shared" si="2"/>
        <v>4.0713909524999085E-2</v>
      </c>
      <c r="P21" s="31">
        <f t="shared" si="3"/>
        <v>3.9146643584631567E-2</v>
      </c>
    </row>
    <row r="22" spans="1:16">
      <c r="A22" s="10">
        <v>17</v>
      </c>
      <c r="B22" s="10" t="s">
        <v>104</v>
      </c>
      <c r="C22" s="12" t="s">
        <v>105</v>
      </c>
      <c r="D22" s="21">
        <f>取引基本表!AW22</f>
        <v>253410</v>
      </c>
      <c r="E22" s="22">
        <f>-取引基本表!BI22</f>
        <v>238752</v>
      </c>
      <c r="F22" s="31">
        <f t="shared" si="0"/>
        <v>0.94215697880904459</v>
      </c>
      <c r="G22" s="30">
        <f t="shared" si="1"/>
        <v>5.7843021190955413E-2</v>
      </c>
      <c r="H22" s="31"/>
      <c r="I22" s="10">
        <v>17</v>
      </c>
      <c r="J22" s="10" t="s">
        <v>104</v>
      </c>
      <c r="K22" s="12" t="s">
        <v>105</v>
      </c>
      <c r="L22" s="72">
        <f>雇用表!D24</f>
        <v>15455</v>
      </c>
      <c r="M22" s="73">
        <f>雇用表!I24</f>
        <v>14334</v>
      </c>
      <c r="N22" s="22">
        <f>取引基本表!BK22</f>
        <v>267780</v>
      </c>
      <c r="O22" s="30">
        <f t="shared" si="2"/>
        <v>5.771528866980357E-2</v>
      </c>
      <c r="P22" s="31">
        <f t="shared" si="3"/>
        <v>5.3529016356710736E-2</v>
      </c>
    </row>
    <row r="23" spans="1:16">
      <c r="A23" s="10">
        <v>18</v>
      </c>
      <c r="B23" s="10" t="s">
        <v>106</v>
      </c>
      <c r="C23" s="12" t="s">
        <v>187</v>
      </c>
      <c r="D23" s="21">
        <f>取引基本表!AW23</f>
        <v>187651</v>
      </c>
      <c r="E23" s="22">
        <f>-取引基本表!BI23</f>
        <v>169358</v>
      </c>
      <c r="F23" s="31">
        <f t="shared" si="0"/>
        <v>0.90251584057638912</v>
      </c>
      <c r="G23" s="30">
        <f t="shared" si="1"/>
        <v>9.7484159423610883E-2</v>
      </c>
      <c r="H23" s="31"/>
      <c r="I23" s="10">
        <v>18</v>
      </c>
      <c r="J23" s="10" t="s">
        <v>106</v>
      </c>
      <c r="K23" s="12" t="s">
        <v>187</v>
      </c>
      <c r="L23" s="72">
        <f>雇用表!D25</f>
        <v>12897</v>
      </c>
      <c r="M23" s="73">
        <f>雇用表!I25</f>
        <v>12657</v>
      </c>
      <c r="N23" s="22">
        <f>取引基本表!BK23</f>
        <v>441841</v>
      </c>
      <c r="O23" s="30">
        <f t="shared" si="2"/>
        <v>2.9189233230958646E-2</v>
      </c>
      <c r="P23" s="31">
        <f t="shared" si="3"/>
        <v>2.8646051407633061E-2</v>
      </c>
    </row>
    <row r="24" spans="1:16">
      <c r="A24" s="10">
        <v>19</v>
      </c>
      <c r="B24" s="10" t="s">
        <v>108</v>
      </c>
      <c r="C24" s="12" t="s">
        <v>109</v>
      </c>
      <c r="D24" s="21">
        <f>取引基本表!AW24</f>
        <v>334587</v>
      </c>
      <c r="E24" s="22">
        <f>-取引基本表!BI24</f>
        <v>310370</v>
      </c>
      <c r="F24" s="31">
        <f t="shared" si="0"/>
        <v>0.92762121660435104</v>
      </c>
      <c r="G24" s="30">
        <f t="shared" si="1"/>
        <v>7.237878339564896E-2</v>
      </c>
      <c r="H24" s="31"/>
      <c r="I24" s="10">
        <v>19</v>
      </c>
      <c r="J24" s="10" t="s">
        <v>108</v>
      </c>
      <c r="K24" s="12" t="s">
        <v>109</v>
      </c>
      <c r="L24" s="72">
        <f>雇用表!D26</f>
        <v>17009</v>
      </c>
      <c r="M24" s="73">
        <f>雇用表!I26</f>
        <v>16101</v>
      </c>
      <c r="N24" s="22">
        <f>取引基本表!BK24</f>
        <v>352253</v>
      </c>
      <c r="O24" s="30">
        <f t="shared" si="2"/>
        <v>4.8286316936974279E-2</v>
      </c>
      <c r="P24" s="31">
        <f t="shared" si="3"/>
        <v>4.5708624199084183E-2</v>
      </c>
    </row>
    <row r="25" spans="1:16">
      <c r="A25" s="10">
        <v>20</v>
      </c>
      <c r="B25" s="10" t="s">
        <v>110</v>
      </c>
      <c r="C25" s="12" t="s">
        <v>66</v>
      </c>
      <c r="D25" s="21">
        <f>取引基本表!AW25</f>
        <v>155509</v>
      </c>
      <c r="E25" s="22">
        <f>-取引基本表!BI25</f>
        <v>91115</v>
      </c>
      <c r="F25" s="31">
        <f t="shared" si="0"/>
        <v>0.58591464159630635</v>
      </c>
      <c r="G25" s="30">
        <f t="shared" si="1"/>
        <v>0.41408535840369365</v>
      </c>
      <c r="H25" s="31"/>
      <c r="I25" s="10">
        <v>20</v>
      </c>
      <c r="J25" s="10" t="s">
        <v>110</v>
      </c>
      <c r="K25" s="12" t="s">
        <v>66</v>
      </c>
      <c r="L25" s="72">
        <f>雇用表!D27</f>
        <v>13695</v>
      </c>
      <c r="M25" s="73">
        <f>雇用表!I27</f>
        <v>10433</v>
      </c>
      <c r="N25" s="22">
        <f>取引基本表!BK25</f>
        <v>171974</v>
      </c>
      <c r="O25" s="30">
        <f t="shared" si="2"/>
        <v>7.9634130740693365E-2</v>
      </c>
      <c r="P25" s="31">
        <f t="shared" si="3"/>
        <v>6.066614720829893E-2</v>
      </c>
    </row>
    <row r="26" spans="1:16">
      <c r="A26" s="10">
        <v>21</v>
      </c>
      <c r="B26" s="10" t="s">
        <v>111</v>
      </c>
      <c r="C26" s="12" t="s">
        <v>112</v>
      </c>
      <c r="D26" s="21">
        <f>取引基本表!AW26</f>
        <v>1136295</v>
      </c>
      <c r="E26" s="22">
        <f>-取引基本表!BI26</f>
        <v>0</v>
      </c>
      <c r="F26" s="31">
        <f t="shared" si="0"/>
        <v>0</v>
      </c>
      <c r="G26" s="30">
        <f t="shared" si="1"/>
        <v>1</v>
      </c>
      <c r="H26" s="31"/>
      <c r="I26" s="10">
        <v>21</v>
      </c>
      <c r="J26" s="10" t="s">
        <v>111</v>
      </c>
      <c r="K26" s="12" t="s">
        <v>112</v>
      </c>
      <c r="L26" s="72">
        <f>雇用表!D28</f>
        <v>98327</v>
      </c>
      <c r="M26" s="73">
        <f>雇用表!I28</f>
        <v>59828</v>
      </c>
      <c r="N26" s="22">
        <f>取引基本表!BK26</f>
        <v>1136295</v>
      </c>
      <c r="O26" s="30">
        <f t="shared" si="2"/>
        <v>8.6532986592390185E-2</v>
      </c>
      <c r="P26" s="31">
        <f t="shared" si="3"/>
        <v>5.2651820169938267E-2</v>
      </c>
    </row>
    <row r="27" spans="1:16">
      <c r="A27" s="10">
        <v>22</v>
      </c>
      <c r="B27" s="10" t="s">
        <v>113</v>
      </c>
      <c r="C27" s="12" t="s">
        <v>188</v>
      </c>
      <c r="D27" s="21">
        <f>取引基本表!AW27</f>
        <v>321895</v>
      </c>
      <c r="E27" s="22">
        <f>-取引基本表!BI27</f>
        <v>106883</v>
      </c>
      <c r="F27" s="31">
        <f t="shared" si="0"/>
        <v>0.33204305751875612</v>
      </c>
      <c r="G27" s="30">
        <f t="shared" si="1"/>
        <v>0.66795694248124393</v>
      </c>
      <c r="H27" s="31"/>
      <c r="I27" s="10">
        <v>22</v>
      </c>
      <c r="J27" s="10" t="s">
        <v>113</v>
      </c>
      <c r="K27" s="12" t="s">
        <v>188</v>
      </c>
      <c r="L27" s="72">
        <f>雇用表!D29</f>
        <v>4329</v>
      </c>
      <c r="M27" s="73">
        <f>雇用表!I29</f>
        <v>4205</v>
      </c>
      <c r="N27" s="22">
        <f>取引基本表!BK27</f>
        <v>282036</v>
      </c>
      <c r="O27" s="30">
        <f t="shared" si="2"/>
        <v>1.5349104369654937E-2</v>
      </c>
      <c r="P27" s="31">
        <f t="shared" si="3"/>
        <v>1.4909444184430357E-2</v>
      </c>
    </row>
    <row r="28" spans="1:16">
      <c r="A28" s="10">
        <v>23</v>
      </c>
      <c r="B28" s="10" t="s">
        <v>115</v>
      </c>
      <c r="C28" s="12" t="s">
        <v>0</v>
      </c>
      <c r="D28" s="21">
        <f>取引基本表!AW28</f>
        <v>94217</v>
      </c>
      <c r="E28" s="22">
        <f>-取引基本表!BI28</f>
        <v>13</v>
      </c>
      <c r="F28" s="31">
        <f t="shared" si="0"/>
        <v>1.3797934555335024E-4</v>
      </c>
      <c r="G28" s="30">
        <f t="shared" si="1"/>
        <v>0.99986202065444663</v>
      </c>
      <c r="H28" s="31"/>
      <c r="I28" s="10">
        <v>23</v>
      </c>
      <c r="J28" s="10" t="s">
        <v>115</v>
      </c>
      <c r="K28" s="12" t="s">
        <v>0</v>
      </c>
      <c r="L28" s="72">
        <f>雇用表!D30</f>
        <v>475</v>
      </c>
      <c r="M28" s="73">
        <f>雇用表!I30</f>
        <v>461</v>
      </c>
      <c r="N28" s="22">
        <f>取引基本表!BK28</f>
        <v>94645</v>
      </c>
      <c r="O28" s="30">
        <f t="shared" si="2"/>
        <v>5.0187542923556452E-3</v>
      </c>
      <c r="P28" s="31">
        <f t="shared" si="3"/>
        <v>4.8708331132125311E-3</v>
      </c>
    </row>
    <row r="29" spans="1:16">
      <c r="A29" s="10">
        <v>24</v>
      </c>
      <c r="B29" s="10" t="s">
        <v>116</v>
      </c>
      <c r="C29" s="12" t="s">
        <v>1</v>
      </c>
      <c r="D29" s="21">
        <f>取引基本表!AW29</f>
        <v>93348</v>
      </c>
      <c r="E29" s="22">
        <f>-取引基本表!BI29</f>
        <v>6461</v>
      </c>
      <c r="F29" s="31">
        <f t="shared" si="0"/>
        <v>6.9214123494879376E-2</v>
      </c>
      <c r="G29" s="30">
        <f t="shared" si="1"/>
        <v>0.93078587650512068</v>
      </c>
      <c r="H29" s="31"/>
      <c r="I29" s="10">
        <v>24</v>
      </c>
      <c r="J29" s="10" t="s">
        <v>116</v>
      </c>
      <c r="K29" s="12" t="s">
        <v>1</v>
      </c>
      <c r="L29" s="72">
        <f>雇用表!D31</f>
        <v>8190</v>
      </c>
      <c r="M29" s="73">
        <f>雇用表!I31</f>
        <v>7247</v>
      </c>
      <c r="N29" s="22">
        <f>取引基本表!BK29</f>
        <v>99555</v>
      </c>
      <c r="O29" s="30">
        <f t="shared" si="2"/>
        <v>8.2266084074129872E-2</v>
      </c>
      <c r="P29" s="31">
        <f t="shared" si="3"/>
        <v>7.2793933001858269E-2</v>
      </c>
    </row>
    <row r="30" spans="1:16">
      <c r="A30" s="10">
        <v>25</v>
      </c>
      <c r="B30" s="10" t="s">
        <v>117</v>
      </c>
      <c r="C30" s="12" t="s">
        <v>67</v>
      </c>
      <c r="D30" s="21">
        <f>取引基本表!AW30</f>
        <v>1297737</v>
      </c>
      <c r="E30" s="22">
        <f>-取引基本表!BI30</f>
        <v>462194</v>
      </c>
      <c r="F30" s="31">
        <f t="shared" si="0"/>
        <v>0.35615382777866395</v>
      </c>
      <c r="G30" s="30">
        <f t="shared" si="1"/>
        <v>0.643846172221336</v>
      </c>
      <c r="H30" s="31"/>
      <c r="I30" s="10">
        <v>25</v>
      </c>
      <c r="J30" s="10" t="s">
        <v>117</v>
      </c>
      <c r="K30" s="12" t="s">
        <v>67</v>
      </c>
      <c r="L30" s="72">
        <f>雇用表!D32</f>
        <v>179841</v>
      </c>
      <c r="M30" s="73">
        <f>雇用表!I32</f>
        <v>144487</v>
      </c>
      <c r="N30" s="22">
        <f>取引基本表!BK30</f>
        <v>1160031</v>
      </c>
      <c r="O30" s="30">
        <f t="shared" si="2"/>
        <v>0.15503120175236695</v>
      </c>
      <c r="P30" s="31">
        <f t="shared" si="3"/>
        <v>0.12455443001092212</v>
      </c>
    </row>
    <row r="31" spans="1:16">
      <c r="A31" s="10">
        <v>26</v>
      </c>
      <c r="B31" s="10" t="s">
        <v>118</v>
      </c>
      <c r="C31" s="12" t="s">
        <v>68</v>
      </c>
      <c r="D31" s="21">
        <f>取引基本表!AW31</f>
        <v>514558</v>
      </c>
      <c r="E31" s="22">
        <f>-取引基本表!BI31</f>
        <v>63347</v>
      </c>
      <c r="F31" s="31">
        <f t="shared" si="0"/>
        <v>0.12310954255885634</v>
      </c>
      <c r="G31" s="30">
        <f t="shared" si="1"/>
        <v>0.87689045744114369</v>
      </c>
      <c r="H31" s="31"/>
      <c r="I31" s="10">
        <v>26</v>
      </c>
      <c r="J31" s="10" t="s">
        <v>118</v>
      </c>
      <c r="K31" s="12" t="s">
        <v>68</v>
      </c>
      <c r="L31" s="72">
        <f>雇用表!D33</f>
        <v>23414</v>
      </c>
      <c r="M31" s="73">
        <f>雇用表!I33</f>
        <v>22127</v>
      </c>
      <c r="N31" s="22">
        <f>取引基本表!BK31</f>
        <v>490016</v>
      </c>
      <c r="O31" s="30">
        <f t="shared" si="2"/>
        <v>4.7782113237118791E-2</v>
      </c>
      <c r="P31" s="31">
        <f t="shared" si="3"/>
        <v>4.5155668386338409E-2</v>
      </c>
    </row>
    <row r="32" spans="1:16">
      <c r="A32" s="10">
        <v>27</v>
      </c>
      <c r="B32" s="10" t="s">
        <v>119</v>
      </c>
      <c r="C32" s="12" t="s">
        <v>120</v>
      </c>
      <c r="D32" s="21">
        <f>取引基本表!AW32</f>
        <v>1269211</v>
      </c>
      <c r="E32" s="22">
        <f>-取引基本表!BI32</f>
        <v>11645</v>
      </c>
      <c r="F32" s="31">
        <f t="shared" si="0"/>
        <v>9.1749913922901712E-3</v>
      </c>
      <c r="G32" s="30">
        <f t="shared" si="1"/>
        <v>0.99082500860770983</v>
      </c>
      <c r="H32" s="31"/>
      <c r="I32" s="10">
        <v>27</v>
      </c>
      <c r="J32" s="10" t="s">
        <v>119</v>
      </c>
      <c r="K32" s="12" t="s">
        <v>120</v>
      </c>
      <c r="L32" s="72">
        <f>雇用表!D34</f>
        <v>15450</v>
      </c>
      <c r="M32" s="73">
        <f>雇用表!I34</f>
        <v>7942</v>
      </c>
      <c r="N32" s="22">
        <f>取引基本表!BK32</f>
        <v>1258921</v>
      </c>
      <c r="O32" s="30">
        <f t="shared" si="2"/>
        <v>1.2272414234094118E-2</v>
      </c>
      <c r="P32" s="31">
        <f t="shared" si="3"/>
        <v>6.3085769480372474E-3</v>
      </c>
    </row>
    <row r="33" spans="1:16">
      <c r="A33" s="10">
        <v>28</v>
      </c>
      <c r="B33" s="10" t="s">
        <v>121</v>
      </c>
      <c r="C33" s="12" t="s">
        <v>189</v>
      </c>
      <c r="D33" s="21">
        <f>取引基本表!AW33</f>
        <v>680218</v>
      </c>
      <c r="E33" s="22">
        <f>-取引基本表!BI33</f>
        <v>148854</v>
      </c>
      <c r="F33" s="31">
        <f t="shared" si="0"/>
        <v>0.21883278595979525</v>
      </c>
      <c r="G33" s="30">
        <f t="shared" si="1"/>
        <v>0.78116721404020473</v>
      </c>
      <c r="H33" s="31"/>
      <c r="I33" s="10">
        <v>28</v>
      </c>
      <c r="J33" s="10" t="s">
        <v>121</v>
      </c>
      <c r="K33" s="12" t="s">
        <v>189</v>
      </c>
      <c r="L33" s="72">
        <f>雇用表!D35</f>
        <v>44263</v>
      </c>
      <c r="M33" s="73">
        <f>雇用表!I35</f>
        <v>40104</v>
      </c>
      <c r="N33" s="22">
        <f>取引基本表!BK33</f>
        <v>624747</v>
      </c>
      <c r="O33" s="30">
        <f t="shared" si="2"/>
        <v>7.0849479869451157E-2</v>
      </c>
      <c r="P33" s="31">
        <f t="shared" si="3"/>
        <v>6.4192385077479361E-2</v>
      </c>
    </row>
    <row r="34" spans="1:16">
      <c r="A34" s="10">
        <v>29</v>
      </c>
      <c r="B34" s="10" t="s">
        <v>123</v>
      </c>
      <c r="C34" s="12" t="s">
        <v>190</v>
      </c>
      <c r="D34" s="21">
        <f>取引基本表!AW34</f>
        <v>805131</v>
      </c>
      <c r="E34" s="22">
        <f>-取引基本表!BI34</f>
        <v>391701</v>
      </c>
      <c r="F34" s="31">
        <f t="shared" si="0"/>
        <v>0.4865059226386762</v>
      </c>
      <c r="G34" s="30">
        <f t="shared" si="1"/>
        <v>0.5134940773613238</v>
      </c>
      <c r="H34" s="31"/>
      <c r="I34" s="10">
        <v>29</v>
      </c>
      <c r="J34" s="10" t="s">
        <v>123</v>
      </c>
      <c r="K34" s="12" t="s">
        <v>190</v>
      </c>
      <c r="L34" s="72">
        <f>雇用表!D36</f>
        <v>15954</v>
      </c>
      <c r="M34" s="73">
        <f>雇用表!I36</f>
        <v>11914</v>
      </c>
      <c r="N34" s="22">
        <f>取引基本表!BK34</f>
        <v>492275</v>
      </c>
      <c r="O34" s="30">
        <f t="shared" si="2"/>
        <v>3.2408714641206642E-2</v>
      </c>
      <c r="P34" s="31">
        <f t="shared" si="3"/>
        <v>2.4201919658727339E-2</v>
      </c>
    </row>
    <row r="35" spans="1:16">
      <c r="A35" s="10">
        <v>30</v>
      </c>
      <c r="B35" s="10" t="s">
        <v>125</v>
      </c>
      <c r="C35" s="12" t="s">
        <v>69</v>
      </c>
      <c r="D35" s="21">
        <f>取引基本表!AW35</f>
        <v>630205</v>
      </c>
      <c r="E35" s="22">
        <f>-取引基本表!BI35</f>
        <v>0</v>
      </c>
      <c r="F35" s="31">
        <f t="shared" si="0"/>
        <v>0</v>
      </c>
      <c r="G35" s="30">
        <f t="shared" si="1"/>
        <v>1</v>
      </c>
      <c r="H35" s="31"/>
      <c r="I35" s="10">
        <v>30</v>
      </c>
      <c r="J35" s="10" t="s">
        <v>125</v>
      </c>
      <c r="K35" s="12" t="s">
        <v>69</v>
      </c>
      <c r="L35" s="72">
        <f>雇用表!D37</f>
        <v>34005</v>
      </c>
      <c r="M35" s="73">
        <f>雇用表!I37</f>
        <v>34005</v>
      </c>
      <c r="N35" s="22">
        <f>取引基本表!BK35</f>
        <v>630205</v>
      </c>
      <c r="O35" s="30">
        <f t="shared" si="2"/>
        <v>5.3958632508469467E-2</v>
      </c>
      <c r="P35" s="31">
        <f t="shared" si="3"/>
        <v>5.3958632508469467E-2</v>
      </c>
    </row>
    <row r="36" spans="1:16">
      <c r="A36" s="10">
        <v>31</v>
      </c>
      <c r="B36" s="10" t="s">
        <v>126</v>
      </c>
      <c r="C36" s="12" t="s">
        <v>127</v>
      </c>
      <c r="D36" s="21">
        <f>取引基本表!AW36</f>
        <v>860296</v>
      </c>
      <c r="E36" s="22">
        <f>-取引基本表!BI36</f>
        <v>219322</v>
      </c>
      <c r="F36" s="31">
        <f t="shared" si="0"/>
        <v>0.25493783534969361</v>
      </c>
      <c r="G36" s="30">
        <f t="shared" si="1"/>
        <v>0.74506216465030639</v>
      </c>
      <c r="H36" s="31"/>
      <c r="I36" s="10">
        <v>31</v>
      </c>
      <c r="J36" s="10" t="s">
        <v>126</v>
      </c>
      <c r="K36" s="12" t="s">
        <v>127</v>
      </c>
      <c r="L36" s="72">
        <f>雇用表!D38</f>
        <v>55011</v>
      </c>
      <c r="M36" s="73">
        <f>雇用表!I38</f>
        <v>51289</v>
      </c>
      <c r="N36" s="22">
        <f>取引基本表!BK36</f>
        <v>658241</v>
      </c>
      <c r="O36" s="30">
        <f t="shared" si="2"/>
        <v>8.3572733998641832E-2</v>
      </c>
      <c r="P36" s="31">
        <f t="shared" si="3"/>
        <v>7.7918270056104078E-2</v>
      </c>
    </row>
    <row r="37" spans="1:16">
      <c r="A37" s="10">
        <v>32</v>
      </c>
      <c r="B37" s="10" t="s">
        <v>128</v>
      </c>
      <c r="C37" s="12" t="s">
        <v>191</v>
      </c>
      <c r="D37" s="21">
        <f>取引基本表!AW37</f>
        <v>1237712</v>
      </c>
      <c r="E37" s="22">
        <f>-取引基本表!BI37</f>
        <v>18190</v>
      </c>
      <c r="F37" s="31">
        <f t="shared" si="0"/>
        <v>1.4696472200318006E-2</v>
      </c>
      <c r="G37" s="30">
        <f t="shared" si="1"/>
        <v>0.985303527799682</v>
      </c>
      <c r="H37" s="31"/>
      <c r="I37" s="10">
        <v>32</v>
      </c>
      <c r="J37" s="10" t="s">
        <v>128</v>
      </c>
      <c r="K37" s="12" t="s">
        <v>191</v>
      </c>
      <c r="L37" s="72">
        <f>雇用表!D39</f>
        <v>149028</v>
      </c>
      <c r="M37" s="73">
        <f>雇用表!I39</f>
        <v>139877</v>
      </c>
      <c r="N37" s="22">
        <f>取引基本表!BK37</f>
        <v>1225899</v>
      </c>
      <c r="O37" s="30">
        <f t="shared" si="2"/>
        <v>0.12156629542890564</v>
      </c>
      <c r="P37" s="31">
        <f t="shared" si="3"/>
        <v>0.1141015695420259</v>
      </c>
    </row>
    <row r="38" spans="1:16">
      <c r="A38" s="10">
        <v>33</v>
      </c>
      <c r="B38" s="10" t="s">
        <v>130</v>
      </c>
      <c r="C38" s="12" t="s">
        <v>192</v>
      </c>
      <c r="D38" s="21">
        <f>取引基本表!AW38</f>
        <v>127716</v>
      </c>
      <c r="E38" s="22">
        <f>-取引基本表!BI38</f>
        <v>3133</v>
      </c>
      <c r="F38" s="31">
        <f t="shared" si="0"/>
        <v>2.4530990635472455E-2</v>
      </c>
      <c r="G38" s="30">
        <f t="shared" si="1"/>
        <v>0.97546900936452752</v>
      </c>
      <c r="H38" s="31"/>
      <c r="I38" s="10">
        <v>33</v>
      </c>
      <c r="J38" s="10" t="s">
        <v>130</v>
      </c>
      <c r="K38" s="12" t="s">
        <v>192</v>
      </c>
      <c r="L38" s="72">
        <f>雇用表!D40</f>
        <v>15920</v>
      </c>
      <c r="M38" s="73">
        <f>雇用表!I40</f>
        <v>12001</v>
      </c>
      <c r="N38" s="22">
        <f>取引基本表!BK38</f>
        <v>125367</v>
      </c>
      <c r="O38" s="30">
        <f t="shared" si="2"/>
        <v>0.12698716568155893</v>
      </c>
      <c r="P38" s="31">
        <f t="shared" si="3"/>
        <v>9.5726945687461609E-2</v>
      </c>
    </row>
    <row r="39" spans="1:16">
      <c r="A39" s="10">
        <v>34</v>
      </c>
      <c r="B39" s="10" t="s">
        <v>131</v>
      </c>
      <c r="C39" s="12" t="s">
        <v>132</v>
      </c>
      <c r="D39" s="21">
        <f>取引基本表!AW39</f>
        <v>1237887</v>
      </c>
      <c r="E39" s="22">
        <f>-取引基本表!BI39</f>
        <v>481544</v>
      </c>
      <c r="F39" s="31">
        <f t="shared" si="0"/>
        <v>0.38900481223245742</v>
      </c>
      <c r="G39" s="30">
        <f t="shared" si="1"/>
        <v>0.61099518776754258</v>
      </c>
      <c r="H39" s="31"/>
      <c r="I39" s="10">
        <v>34</v>
      </c>
      <c r="J39" s="10" t="s">
        <v>131</v>
      </c>
      <c r="K39" s="12" t="s">
        <v>132</v>
      </c>
      <c r="L39" s="72">
        <f>雇用表!D41</f>
        <v>85044</v>
      </c>
      <c r="M39" s="73">
        <f>雇用表!I41</f>
        <v>61366</v>
      </c>
      <c r="N39" s="22">
        <f>取引基本表!BK39</f>
        <v>869434</v>
      </c>
      <c r="O39" s="30">
        <f t="shared" si="2"/>
        <v>9.7815360337874982E-2</v>
      </c>
      <c r="P39" s="31">
        <f t="shared" si="3"/>
        <v>7.0581550756009082E-2</v>
      </c>
    </row>
    <row r="40" spans="1:16">
      <c r="A40" s="10">
        <v>35</v>
      </c>
      <c r="B40" s="10" t="s">
        <v>133</v>
      </c>
      <c r="C40" s="12" t="s">
        <v>193</v>
      </c>
      <c r="D40" s="21">
        <f>取引基本表!AW40</f>
        <v>577427</v>
      </c>
      <c r="E40" s="22">
        <f>-取引基本表!BI40</f>
        <v>111978</v>
      </c>
      <c r="F40" s="31">
        <f t="shared" si="0"/>
        <v>0.19392581226717837</v>
      </c>
      <c r="G40" s="30">
        <f t="shared" si="1"/>
        <v>0.80607418773282169</v>
      </c>
      <c r="H40" s="31"/>
      <c r="I40" s="10">
        <v>35</v>
      </c>
      <c r="J40" s="10" t="s">
        <v>133</v>
      </c>
      <c r="K40" s="12" t="s">
        <v>193</v>
      </c>
      <c r="L40" s="72">
        <f>雇用表!D42</f>
        <v>111276</v>
      </c>
      <c r="M40" s="73">
        <f>雇用表!I42</f>
        <v>81800</v>
      </c>
      <c r="N40" s="22">
        <f>取引基本表!BK40</f>
        <v>614704</v>
      </c>
      <c r="O40" s="30">
        <f t="shared" si="2"/>
        <v>0.18102371222572164</v>
      </c>
      <c r="P40" s="31">
        <f t="shared" si="3"/>
        <v>0.13307217782867853</v>
      </c>
    </row>
    <row r="41" spans="1:16">
      <c r="A41" s="10">
        <v>36</v>
      </c>
      <c r="B41" s="10" t="s">
        <v>135</v>
      </c>
      <c r="C41" s="12" t="s">
        <v>194</v>
      </c>
      <c r="D41" s="21">
        <f>取引基本表!AW41</f>
        <v>23247</v>
      </c>
      <c r="E41" s="22">
        <f>-取引基本表!BI41</f>
        <v>0</v>
      </c>
      <c r="F41" s="31">
        <f t="shared" si="0"/>
        <v>0</v>
      </c>
      <c r="G41" s="30">
        <f t="shared" si="1"/>
        <v>1</v>
      </c>
      <c r="H41" s="31"/>
      <c r="I41" s="10">
        <v>36</v>
      </c>
      <c r="J41" s="10" t="s">
        <v>135</v>
      </c>
      <c r="K41" s="12" t="s">
        <v>194</v>
      </c>
      <c r="L41" s="72">
        <f>雇用表!D43</f>
        <v>0</v>
      </c>
      <c r="M41" s="73">
        <f>雇用表!I43</f>
        <v>0</v>
      </c>
      <c r="N41" s="22">
        <f>取引基本表!BK41</f>
        <v>23247</v>
      </c>
      <c r="O41" s="30">
        <f t="shared" si="2"/>
        <v>0</v>
      </c>
      <c r="P41" s="31">
        <f t="shared" si="3"/>
        <v>0</v>
      </c>
    </row>
    <row r="42" spans="1:16">
      <c r="A42" s="10">
        <v>37</v>
      </c>
      <c r="B42" s="10" t="s">
        <v>136</v>
      </c>
      <c r="C42" s="12" t="s">
        <v>195</v>
      </c>
      <c r="D42" s="21">
        <f>取引基本表!AW42</f>
        <v>69603</v>
      </c>
      <c r="E42" s="22">
        <f>-取引基本表!BI42</f>
        <v>25346</v>
      </c>
      <c r="F42" s="31">
        <f t="shared" si="0"/>
        <v>0.36415097050414491</v>
      </c>
      <c r="G42" s="30">
        <f t="shared" si="1"/>
        <v>0.63584902949585509</v>
      </c>
      <c r="H42" s="31"/>
      <c r="I42" s="10">
        <v>37</v>
      </c>
      <c r="J42" s="10" t="s">
        <v>136</v>
      </c>
      <c r="K42" s="12" t="s">
        <v>195</v>
      </c>
      <c r="L42" s="72">
        <f>雇用表!D44</f>
        <v>120</v>
      </c>
      <c r="M42" s="73">
        <f>雇用表!I44</f>
        <v>109</v>
      </c>
      <c r="N42" s="22">
        <f>取引基本表!BK42</f>
        <v>69546</v>
      </c>
      <c r="O42" s="30">
        <f t="shared" si="2"/>
        <v>1.7254766629281339E-3</v>
      </c>
      <c r="P42" s="31">
        <f t="shared" si="3"/>
        <v>1.5673079688263882E-3</v>
      </c>
    </row>
    <row r="43" spans="1:16">
      <c r="A43" s="11"/>
      <c r="B43" s="17"/>
      <c r="C43" s="13" t="s">
        <v>35</v>
      </c>
      <c r="D43" s="56">
        <f>取引基本表!AW43</f>
        <v>15734414</v>
      </c>
      <c r="E43" s="25">
        <f>-取引基本表!BI43</f>
        <v>6080417</v>
      </c>
      <c r="F43" s="34">
        <f t="shared" si="0"/>
        <v>0.38644063897136555</v>
      </c>
      <c r="G43" s="35">
        <f t="shared" si="1"/>
        <v>0.61355936102863451</v>
      </c>
      <c r="H43" s="31"/>
      <c r="I43" s="11"/>
      <c r="J43" s="17"/>
      <c r="K43" s="13" t="s">
        <v>36</v>
      </c>
      <c r="L43" s="74">
        <f>雇用表!D45</f>
        <v>1163637</v>
      </c>
      <c r="M43" s="74">
        <f>雇用表!I45</f>
        <v>909803</v>
      </c>
      <c r="N43" s="25">
        <f>取引基本表!BK43</f>
        <v>14871290</v>
      </c>
      <c r="O43" s="34">
        <f t="shared" si="2"/>
        <v>7.8247213254532724E-2</v>
      </c>
      <c r="P43" s="34">
        <f t="shared" si="3"/>
        <v>6.1178485524793075E-2</v>
      </c>
    </row>
  </sheetData>
  <mergeCells count="2">
    <mergeCell ref="L3:M3"/>
    <mergeCell ref="O3:P3"/>
  </mergeCells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30AF-A328-46BE-8300-CD86936D7F97}">
  <dimension ref="A1:Q92"/>
  <sheetViews>
    <sheetView workbookViewId="0">
      <selection activeCell="D8" sqref="D8"/>
    </sheetView>
  </sheetViews>
  <sheetFormatPr defaultColWidth="8.69921875" defaultRowHeight="12"/>
  <cols>
    <col min="1" max="1" width="4.19921875" style="1" customWidth="1"/>
    <col min="2" max="2" width="4.09765625" style="1" customWidth="1"/>
    <col min="3" max="3" width="21.59765625" style="1" customWidth="1"/>
    <col min="4" max="13" width="10.59765625" style="1" customWidth="1"/>
    <col min="14" max="16384" width="8.69921875" style="1"/>
  </cols>
  <sheetData>
    <row r="1" spans="1:13">
      <c r="A1" s="1" t="s">
        <v>226</v>
      </c>
    </row>
    <row r="2" spans="1:13">
      <c r="A2" s="1" t="s">
        <v>229</v>
      </c>
      <c r="M2" s="68" t="s">
        <v>177</v>
      </c>
    </row>
    <row r="3" spans="1:13" ht="9.4499999999999993" customHeight="1">
      <c r="A3" s="2"/>
      <c r="B3" s="4"/>
      <c r="C3" s="4"/>
      <c r="D3" s="80" t="s">
        <v>56</v>
      </c>
      <c r="E3" s="50"/>
      <c r="F3" s="50"/>
      <c r="G3" s="50"/>
      <c r="H3" s="50"/>
      <c r="I3" s="50"/>
      <c r="J3" s="50"/>
      <c r="K3" s="50"/>
      <c r="L3" s="50"/>
      <c r="M3" s="51"/>
    </row>
    <row r="4" spans="1:13" ht="9.4499999999999993" customHeight="1">
      <c r="A4" s="10"/>
      <c r="B4" s="16"/>
      <c r="C4" s="16"/>
      <c r="D4" s="81"/>
      <c r="E4" s="78" t="s">
        <v>57</v>
      </c>
      <c r="F4" s="84" t="s">
        <v>58</v>
      </c>
      <c r="G4" s="87" t="s">
        <v>63</v>
      </c>
      <c r="H4" s="50"/>
      <c r="I4" s="50"/>
      <c r="J4" s="50"/>
      <c r="K4" s="50"/>
      <c r="L4" s="50"/>
      <c r="M4" s="51"/>
    </row>
    <row r="5" spans="1:13" ht="9.4499999999999993" customHeight="1">
      <c r="A5" s="10"/>
      <c r="B5" s="16"/>
      <c r="C5" s="16"/>
      <c r="D5" s="81"/>
      <c r="E5" s="83"/>
      <c r="F5" s="85"/>
      <c r="G5" s="88"/>
      <c r="H5" s="78" t="s">
        <v>59</v>
      </c>
      <c r="I5" s="80" t="s">
        <v>60</v>
      </c>
      <c r="J5" s="50"/>
      <c r="K5" s="50"/>
      <c r="L5" s="50"/>
      <c r="M5" s="51"/>
    </row>
    <row r="6" spans="1:13" ht="9.4499999999999993" customHeight="1">
      <c r="A6" s="10"/>
      <c r="B6" s="16"/>
      <c r="C6" s="16"/>
      <c r="D6" s="81"/>
      <c r="E6" s="83"/>
      <c r="F6" s="85"/>
      <c r="G6" s="88"/>
      <c r="H6" s="83"/>
      <c r="I6" s="81"/>
      <c r="J6" s="80" t="s">
        <v>61</v>
      </c>
      <c r="K6" s="50"/>
      <c r="L6" s="50"/>
      <c r="M6" s="78" t="s">
        <v>62</v>
      </c>
    </row>
    <row r="7" spans="1:13" ht="30" customHeight="1">
      <c r="A7" s="6"/>
      <c r="B7" s="15"/>
      <c r="C7" s="70" t="s">
        <v>225</v>
      </c>
      <c r="D7" s="82"/>
      <c r="E7" s="79"/>
      <c r="F7" s="86"/>
      <c r="G7" s="89"/>
      <c r="H7" s="79"/>
      <c r="I7" s="82"/>
      <c r="J7" s="82"/>
      <c r="K7" s="52" t="s">
        <v>64</v>
      </c>
      <c r="L7" s="52" t="s">
        <v>65</v>
      </c>
      <c r="M7" s="79"/>
    </row>
    <row r="8" spans="1:13">
      <c r="A8" s="10">
        <v>1</v>
      </c>
      <c r="B8" s="2" t="s">
        <v>75</v>
      </c>
      <c r="C8" s="12" t="s">
        <v>179</v>
      </c>
      <c r="D8" s="21">
        <v>96227</v>
      </c>
      <c r="E8" s="22">
        <v>41821</v>
      </c>
      <c r="F8" s="21">
        <v>21234</v>
      </c>
      <c r="G8" s="22">
        <v>33172</v>
      </c>
      <c r="H8" s="21">
        <v>4349</v>
      </c>
      <c r="I8" s="22">
        <v>28823</v>
      </c>
      <c r="J8" s="21">
        <v>26056</v>
      </c>
      <c r="K8" s="22">
        <v>18417</v>
      </c>
      <c r="L8" s="21">
        <v>7639</v>
      </c>
      <c r="M8" s="22">
        <v>2767</v>
      </c>
    </row>
    <row r="9" spans="1:13">
      <c r="A9" s="10">
        <v>2</v>
      </c>
      <c r="B9" s="10" t="s">
        <v>77</v>
      </c>
      <c r="C9" s="12" t="s">
        <v>180</v>
      </c>
      <c r="D9" s="21">
        <v>332</v>
      </c>
      <c r="E9" s="22">
        <v>15</v>
      </c>
      <c r="F9" s="21">
        <v>4</v>
      </c>
      <c r="G9" s="22">
        <v>313</v>
      </c>
      <c r="H9" s="21">
        <v>55</v>
      </c>
      <c r="I9" s="22">
        <v>258</v>
      </c>
      <c r="J9" s="21">
        <v>245</v>
      </c>
      <c r="K9" s="22">
        <v>189</v>
      </c>
      <c r="L9" s="21">
        <v>56</v>
      </c>
      <c r="M9" s="22">
        <v>13</v>
      </c>
    </row>
    <row r="10" spans="1:13">
      <c r="A10" s="10">
        <v>3</v>
      </c>
      <c r="B10" s="10" t="s">
        <v>79</v>
      </c>
      <c r="C10" s="12" t="s">
        <v>181</v>
      </c>
      <c r="D10" s="21">
        <v>28003</v>
      </c>
      <c r="E10" s="22">
        <v>881</v>
      </c>
      <c r="F10" s="21">
        <v>289</v>
      </c>
      <c r="G10" s="22">
        <v>26833</v>
      </c>
      <c r="H10" s="21">
        <v>1837</v>
      </c>
      <c r="I10" s="22">
        <v>24996</v>
      </c>
      <c r="J10" s="21">
        <v>24476</v>
      </c>
      <c r="K10" s="22">
        <v>15500</v>
      </c>
      <c r="L10" s="21">
        <v>8976</v>
      </c>
      <c r="M10" s="22">
        <v>520</v>
      </c>
    </row>
    <row r="11" spans="1:13">
      <c r="A11" s="10">
        <v>4</v>
      </c>
      <c r="B11" s="10" t="s">
        <v>81</v>
      </c>
      <c r="C11" s="12" t="s">
        <v>82</v>
      </c>
      <c r="D11" s="21">
        <v>2856</v>
      </c>
      <c r="E11" s="22">
        <v>703</v>
      </c>
      <c r="F11" s="21">
        <v>195</v>
      </c>
      <c r="G11" s="22">
        <v>1958</v>
      </c>
      <c r="H11" s="21">
        <v>168</v>
      </c>
      <c r="I11" s="22">
        <v>1790</v>
      </c>
      <c r="J11" s="21">
        <v>1728</v>
      </c>
      <c r="K11" s="22">
        <v>1034</v>
      </c>
      <c r="L11" s="21">
        <v>694</v>
      </c>
      <c r="M11" s="22">
        <v>62</v>
      </c>
    </row>
    <row r="12" spans="1:13">
      <c r="A12" s="10">
        <v>5</v>
      </c>
      <c r="B12" s="10" t="s">
        <v>83</v>
      </c>
      <c r="C12" s="12" t="s">
        <v>84</v>
      </c>
      <c r="D12" s="21">
        <v>7733</v>
      </c>
      <c r="E12" s="22">
        <v>1501</v>
      </c>
      <c r="F12" s="21">
        <v>414</v>
      </c>
      <c r="G12" s="22">
        <v>5818</v>
      </c>
      <c r="H12" s="21">
        <v>776</v>
      </c>
      <c r="I12" s="22">
        <v>5042</v>
      </c>
      <c r="J12" s="21">
        <v>4958</v>
      </c>
      <c r="K12" s="22">
        <v>3988</v>
      </c>
      <c r="L12" s="21">
        <v>970</v>
      </c>
      <c r="M12" s="22">
        <v>84</v>
      </c>
    </row>
    <row r="13" spans="1:13">
      <c r="A13" s="10">
        <v>6</v>
      </c>
      <c r="B13" s="10" t="s">
        <v>85</v>
      </c>
      <c r="C13" s="12" t="s">
        <v>86</v>
      </c>
      <c r="D13" s="21">
        <v>2549</v>
      </c>
      <c r="E13" s="22">
        <v>9</v>
      </c>
      <c r="F13" s="21">
        <v>2</v>
      </c>
      <c r="G13" s="22">
        <v>2538</v>
      </c>
      <c r="H13" s="21">
        <v>118</v>
      </c>
      <c r="I13" s="22">
        <v>2420</v>
      </c>
      <c r="J13" s="21">
        <v>2412</v>
      </c>
      <c r="K13" s="22">
        <v>1822</v>
      </c>
      <c r="L13" s="21">
        <v>590</v>
      </c>
      <c r="M13" s="22">
        <v>8</v>
      </c>
    </row>
    <row r="14" spans="1:13">
      <c r="A14" s="10">
        <v>7</v>
      </c>
      <c r="B14" s="10" t="s">
        <v>87</v>
      </c>
      <c r="C14" s="12" t="s">
        <v>88</v>
      </c>
      <c r="D14" s="21">
        <v>233</v>
      </c>
      <c r="E14" s="22">
        <v>1</v>
      </c>
      <c r="F14" s="21">
        <v>1</v>
      </c>
      <c r="G14" s="22">
        <v>231</v>
      </c>
      <c r="H14" s="21">
        <v>44</v>
      </c>
      <c r="I14" s="22">
        <v>187</v>
      </c>
      <c r="J14" s="21">
        <v>186</v>
      </c>
      <c r="K14" s="22">
        <v>170</v>
      </c>
      <c r="L14" s="21">
        <v>16</v>
      </c>
      <c r="M14" s="22">
        <v>1</v>
      </c>
    </row>
    <row r="15" spans="1:13">
      <c r="A15" s="10">
        <v>8</v>
      </c>
      <c r="B15" s="10" t="s">
        <v>89</v>
      </c>
      <c r="C15" s="12" t="s">
        <v>182</v>
      </c>
      <c r="D15" s="21">
        <v>12667</v>
      </c>
      <c r="E15" s="22">
        <v>382</v>
      </c>
      <c r="F15" s="21">
        <v>79</v>
      </c>
      <c r="G15" s="22">
        <v>12206</v>
      </c>
      <c r="H15" s="21">
        <v>740</v>
      </c>
      <c r="I15" s="22">
        <v>11466</v>
      </c>
      <c r="J15" s="21">
        <v>11020</v>
      </c>
      <c r="K15" s="22">
        <v>7866</v>
      </c>
      <c r="L15" s="21">
        <v>3154</v>
      </c>
      <c r="M15" s="22">
        <v>446</v>
      </c>
    </row>
    <row r="16" spans="1:13">
      <c r="A16" s="10">
        <v>9</v>
      </c>
      <c r="B16" s="10" t="s">
        <v>91</v>
      </c>
      <c r="C16" s="12" t="s">
        <v>92</v>
      </c>
      <c r="D16" s="21">
        <v>6397</v>
      </c>
      <c r="E16" s="22">
        <v>230</v>
      </c>
      <c r="F16" s="21">
        <v>42</v>
      </c>
      <c r="G16" s="22">
        <v>6125</v>
      </c>
      <c r="H16" s="21">
        <v>488</v>
      </c>
      <c r="I16" s="22">
        <v>5637</v>
      </c>
      <c r="J16" s="21">
        <v>5556</v>
      </c>
      <c r="K16" s="22">
        <v>4641</v>
      </c>
      <c r="L16" s="21">
        <v>915</v>
      </c>
      <c r="M16" s="22">
        <v>81</v>
      </c>
    </row>
    <row r="17" spans="1:13">
      <c r="A17" s="10">
        <v>10</v>
      </c>
      <c r="B17" s="10" t="s">
        <v>93</v>
      </c>
      <c r="C17" s="12" t="s">
        <v>94</v>
      </c>
      <c r="D17" s="21">
        <v>1872</v>
      </c>
      <c r="E17" s="22">
        <v>81</v>
      </c>
      <c r="F17" s="21">
        <v>12</v>
      </c>
      <c r="G17" s="22">
        <v>1779</v>
      </c>
      <c r="H17" s="21">
        <v>127</v>
      </c>
      <c r="I17" s="22">
        <v>1652</v>
      </c>
      <c r="J17" s="21">
        <v>1652</v>
      </c>
      <c r="K17" s="22">
        <v>1552</v>
      </c>
      <c r="L17" s="21">
        <v>100</v>
      </c>
      <c r="M17" s="22">
        <v>0</v>
      </c>
    </row>
    <row r="18" spans="1:13">
      <c r="A18" s="10">
        <v>11</v>
      </c>
      <c r="B18" s="10" t="s">
        <v>95</v>
      </c>
      <c r="C18" s="12" t="s">
        <v>96</v>
      </c>
      <c r="D18" s="21">
        <v>4290</v>
      </c>
      <c r="E18" s="22">
        <v>76</v>
      </c>
      <c r="F18" s="21">
        <v>24</v>
      </c>
      <c r="G18" s="22">
        <v>4190</v>
      </c>
      <c r="H18" s="21">
        <v>233</v>
      </c>
      <c r="I18" s="22">
        <v>3957</v>
      </c>
      <c r="J18" s="21">
        <v>3937</v>
      </c>
      <c r="K18" s="22">
        <v>3306</v>
      </c>
      <c r="L18" s="21">
        <v>631</v>
      </c>
      <c r="M18" s="22">
        <v>20</v>
      </c>
    </row>
    <row r="19" spans="1:13">
      <c r="A19" s="10">
        <v>12</v>
      </c>
      <c r="B19" s="10" t="s">
        <v>97</v>
      </c>
      <c r="C19" s="12" t="s">
        <v>98</v>
      </c>
      <c r="D19" s="21">
        <v>19229</v>
      </c>
      <c r="E19" s="22">
        <v>1507</v>
      </c>
      <c r="F19" s="21">
        <v>282</v>
      </c>
      <c r="G19" s="22">
        <v>17440</v>
      </c>
      <c r="H19" s="21">
        <v>1571</v>
      </c>
      <c r="I19" s="22">
        <v>15869</v>
      </c>
      <c r="J19" s="21">
        <v>15703</v>
      </c>
      <c r="K19" s="22">
        <v>12898</v>
      </c>
      <c r="L19" s="21">
        <v>2805</v>
      </c>
      <c r="M19" s="22">
        <v>166</v>
      </c>
    </row>
    <row r="20" spans="1:13">
      <c r="A20" s="10">
        <v>13</v>
      </c>
      <c r="B20" s="10" t="s">
        <v>99</v>
      </c>
      <c r="C20" s="12" t="s">
        <v>183</v>
      </c>
      <c r="D20" s="21">
        <v>14781</v>
      </c>
      <c r="E20" s="22">
        <v>340</v>
      </c>
      <c r="F20" s="21">
        <v>67</v>
      </c>
      <c r="G20" s="22">
        <v>14374</v>
      </c>
      <c r="H20" s="21">
        <v>580</v>
      </c>
      <c r="I20" s="22">
        <v>13794</v>
      </c>
      <c r="J20" s="21">
        <v>13705</v>
      </c>
      <c r="K20" s="22">
        <v>11384</v>
      </c>
      <c r="L20" s="21">
        <v>2321</v>
      </c>
      <c r="M20" s="22">
        <v>89</v>
      </c>
    </row>
    <row r="21" spans="1:13">
      <c r="A21" s="10">
        <v>14</v>
      </c>
      <c r="B21" s="10" t="s">
        <v>100</v>
      </c>
      <c r="C21" s="12" t="s">
        <v>184</v>
      </c>
      <c r="D21" s="21">
        <v>28743</v>
      </c>
      <c r="E21" s="22">
        <v>784</v>
      </c>
      <c r="F21" s="21">
        <v>161</v>
      </c>
      <c r="G21" s="22">
        <v>27798</v>
      </c>
      <c r="H21" s="21">
        <v>2317</v>
      </c>
      <c r="I21" s="22">
        <v>25481</v>
      </c>
      <c r="J21" s="21">
        <v>25357</v>
      </c>
      <c r="K21" s="22">
        <v>20306</v>
      </c>
      <c r="L21" s="21">
        <v>5051</v>
      </c>
      <c r="M21" s="22">
        <v>124</v>
      </c>
    </row>
    <row r="22" spans="1:13">
      <c r="A22" s="10">
        <v>15</v>
      </c>
      <c r="B22" s="10" t="s">
        <v>101</v>
      </c>
      <c r="C22" s="12" t="s">
        <v>185</v>
      </c>
      <c r="D22" s="21">
        <v>12434</v>
      </c>
      <c r="E22" s="22">
        <v>194</v>
      </c>
      <c r="F22" s="21">
        <v>67</v>
      </c>
      <c r="G22" s="22">
        <v>12173</v>
      </c>
      <c r="H22" s="21">
        <v>632</v>
      </c>
      <c r="I22" s="22">
        <v>11541</v>
      </c>
      <c r="J22" s="21">
        <v>11511</v>
      </c>
      <c r="K22" s="22">
        <v>9729</v>
      </c>
      <c r="L22" s="21">
        <v>1782</v>
      </c>
      <c r="M22" s="22">
        <v>30</v>
      </c>
    </row>
    <row r="23" spans="1:13">
      <c r="A23" s="10">
        <v>16</v>
      </c>
      <c r="B23" s="10" t="s">
        <v>102</v>
      </c>
      <c r="C23" s="12" t="s">
        <v>186</v>
      </c>
      <c r="D23" s="21">
        <v>25588</v>
      </c>
      <c r="E23" s="22">
        <v>303</v>
      </c>
      <c r="F23" s="21">
        <v>37</v>
      </c>
      <c r="G23" s="22">
        <v>25248</v>
      </c>
      <c r="H23" s="21">
        <v>645</v>
      </c>
      <c r="I23" s="22">
        <v>24603</v>
      </c>
      <c r="J23" s="21">
        <v>24537</v>
      </c>
      <c r="K23" s="22">
        <v>20838</v>
      </c>
      <c r="L23" s="21">
        <v>3699</v>
      </c>
      <c r="M23" s="22">
        <v>66</v>
      </c>
    </row>
    <row r="24" spans="1:13">
      <c r="A24" s="10">
        <v>17</v>
      </c>
      <c r="B24" s="10" t="s">
        <v>104</v>
      </c>
      <c r="C24" s="12" t="s">
        <v>105</v>
      </c>
      <c r="D24" s="21">
        <v>15455</v>
      </c>
      <c r="E24" s="22">
        <v>295</v>
      </c>
      <c r="F24" s="21">
        <v>63</v>
      </c>
      <c r="G24" s="22">
        <v>15097</v>
      </c>
      <c r="H24" s="21">
        <v>763</v>
      </c>
      <c r="I24" s="22">
        <v>14334</v>
      </c>
      <c r="J24" s="21">
        <v>14261</v>
      </c>
      <c r="K24" s="22">
        <v>11588</v>
      </c>
      <c r="L24" s="21">
        <v>2673</v>
      </c>
      <c r="M24" s="22">
        <v>73</v>
      </c>
    </row>
    <row r="25" spans="1:13">
      <c r="A25" s="10">
        <v>18</v>
      </c>
      <c r="B25" s="10" t="s">
        <v>106</v>
      </c>
      <c r="C25" s="12" t="s">
        <v>187</v>
      </c>
      <c r="D25" s="21">
        <v>12897</v>
      </c>
      <c r="E25" s="22">
        <v>40</v>
      </c>
      <c r="F25" s="21">
        <v>8</v>
      </c>
      <c r="G25" s="22">
        <v>12849</v>
      </c>
      <c r="H25" s="21">
        <v>192</v>
      </c>
      <c r="I25" s="22">
        <v>12657</v>
      </c>
      <c r="J25" s="21">
        <v>12646</v>
      </c>
      <c r="K25" s="22">
        <v>10403</v>
      </c>
      <c r="L25" s="21">
        <v>2243</v>
      </c>
      <c r="M25" s="22">
        <v>11</v>
      </c>
    </row>
    <row r="26" spans="1:13">
      <c r="A26" s="10">
        <v>19</v>
      </c>
      <c r="B26" s="10" t="s">
        <v>108</v>
      </c>
      <c r="C26" s="12" t="s">
        <v>109</v>
      </c>
      <c r="D26" s="21">
        <v>17009</v>
      </c>
      <c r="E26" s="22">
        <v>185</v>
      </c>
      <c r="F26" s="21">
        <v>35</v>
      </c>
      <c r="G26" s="22">
        <v>16789</v>
      </c>
      <c r="H26" s="21">
        <v>688</v>
      </c>
      <c r="I26" s="22">
        <v>16101</v>
      </c>
      <c r="J26" s="21">
        <v>15946</v>
      </c>
      <c r="K26" s="22">
        <v>12999</v>
      </c>
      <c r="L26" s="21">
        <v>2947</v>
      </c>
      <c r="M26" s="22">
        <v>155</v>
      </c>
    </row>
    <row r="27" spans="1:13">
      <c r="A27" s="10">
        <v>20</v>
      </c>
      <c r="B27" s="10" t="s">
        <v>110</v>
      </c>
      <c r="C27" s="12" t="s">
        <v>66</v>
      </c>
      <c r="D27" s="21">
        <v>13695</v>
      </c>
      <c r="E27" s="22">
        <v>1648</v>
      </c>
      <c r="F27" s="21">
        <v>393</v>
      </c>
      <c r="G27" s="22">
        <v>11654</v>
      </c>
      <c r="H27" s="21">
        <v>1221</v>
      </c>
      <c r="I27" s="22">
        <v>10433</v>
      </c>
      <c r="J27" s="21">
        <v>10304</v>
      </c>
      <c r="K27" s="22">
        <v>8239</v>
      </c>
      <c r="L27" s="21">
        <v>2065</v>
      </c>
      <c r="M27" s="22">
        <v>129</v>
      </c>
    </row>
    <row r="28" spans="1:13">
      <c r="A28" s="10">
        <v>21</v>
      </c>
      <c r="B28" s="10" t="s">
        <v>111</v>
      </c>
      <c r="C28" s="12" t="s">
        <v>112</v>
      </c>
      <c r="D28" s="21">
        <v>98327</v>
      </c>
      <c r="E28" s="22">
        <v>19746</v>
      </c>
      <c r="F28" s="21">
        <v>3443</v>
      </c>
      <c r="G28" s="22">
        <v>75138</v>
      </c>
      <c r="H28" s="21">
        <v>15310</v>
      </c>
      <c r="I28" s="22">
        <v>59828</v>
      </c>
      <c r="J28" s="21">
        <v>58019</v>
      </c>
      <c r="K28" s="22">
        <v>51147</v>
      </c>
      <c r="L28" s="21">
        <v>6872</v>
      </c>
      <c r="M28" s="22">
        <v>1809</v>
      </c>
    </row>
    <row r="29" spans="1:13">
      <c r="A29" s="10">
        <v>22</v>
      </c>
      <c r="B29" s="10" t="s">
        <v>113</v>
      </c>
      <c r="C29" s="12" t="s">
        <v>188</v>
      </c>
      <c r="D29" s="21">
        <v>4329</v>
      </c>
      <c r="E29" s="22">
        <v>0</v>
      </c>
      <c r="F29" s="21">
        <v>0</v>
      </c>
      <c r="G29" s="22">
        <v>4329</v>
      </c>
      <c r="H29" s="21">
        <v>124</v>
      </c>
      <c r="I29" s="22">
        <v>4205</v>
      </c>
      <c r="J29" s="21">
        <v>4189</v>
      </c>
      <c r="K29" s="22">
        <v>3533</v>
      </c>
      <c r="L29" s="21">
        <v>656</v>
      </c>
      <c r="M29" s="22">
        <v>16</v>
      </c>
    </row>
    <row r="30" spans="1:13">
      <c r="A30" s="10">
        <v>23</v>
      </c>
      <c r="B30" s="10" t="s">
        <v>115</v>
      </c>
      <c r="C30" s="12" t="s">
        <v>0</v>
      </c>
      <c r="D30" s="21">
        <v>475</v>
      </c>
      <c r="E30" s="22">
        <v>0</v>
      </c>
      <c r="F30" s="21">
        <v>0</v>
      </c>
      <c r="G30" s="22">
        <v>475</v>
      </c>
      <c r="H30" s="21">
        <v>14</v>
      </c>
      <c r="I30" s="22">
        <v>461</v>
      </c>
      <c r="J30" s="21">
        <v>459</v>
      </c>
      <c r="K30" s="22">
        <v>387</v>
      </c>
      <c r="L30" s="21">
        <v>72</v>
      </c>
      <c r="M30" s="22">
        <v>2</v>
      </c>
    </row>
    <row r="31" spans="1:13">
      <c r="A31" s="10">
        <v>24</v>
      </c>
      <c r="B31" s="10" t="s">
        <v>116</v>
      </c>
      <c r="C31" s="12" t="s">
        <v>1</v>
      </c>
      <c r="D31" s="21">
        <v>8190</v>
      </c>
      <c r="E31" s="22">
        <v>259</v>
      </c>
      <c r="F31" s="21">
        <v>43</v>
      </c>
      <c r="G31" s="22">
        <v>7888</v>
      </c>
      <c r="H31" s="21">
        <v>641</v>
      </c>
      <c r="I31" s="22">
        <v>7247</v>
      </c>
      <c r="J31" s="21">
        <v>6949</v>
      </c>
      <c r="K31" s="22">
        <v>5463</v>
      </c>
      <c r="L31" s="21">
        <v>1486</v>
      </c>
      <c r="M31" s="22">
        <v>298</v>
      </c>
    </row>
    <row r="32" spans="1:13">
      <c r="A32" s="10">
        <v>25</v>
      </c>
      <c r="B32" s="10" t="s">
        <v>117</v>
      </c>
      <c r="C32" s="12" t="s">
        <v>67</v>
      </c>
      <c r="D32" s="21">
        <v>179841</v>
      </c>
      <c r="E32" s="22">
        <v>14330</v>
      </c>
      <c r="F32" s="21">
        <v>5162</v>
      </c>
      <c r="G32" s="22">
        <v>160349</v>
      </c>
      <c r="H32" s="21">
        <v>15862</v>
      </c>
      <c r="I32" s="22">
        <v>144487</v>
      </c>
      <c r="J32" s="21">
        <v>141016</v>
      </c>
      <c r="K32" s="22">
        <v>70167</v>
      </c>
      <c r="L32" s="21">
        <v>70849</v>
      </c>
      <c r="M32" s="22">
        <v>3471</v>
      </c>
    </row>
    <row r="33" spans="1:17">
      <c r="A33" s="10">
        <v>26</v>
      </c>
      <c r="B33" s="10" t="s">
        <v>118</v>
      </c>
      <c r="C33" s="12" t="s">
        <v>68</v>
      </c>
      <c r="D33" s="21">
        <v>23414</v>
      </c>
      <c r="E33" s="22">
        <v>273</v>
      </c>
      <c r="F33" s="21">
        <v>30</v>
      </c>
      <c r="G33" s="22">
        <v>23111</v>
      </c>
      <c r="H33" s="21">
        <v>984</v>
      </c>
      <c r="I33" s="22">
        <v>22127</v>
      </c>
      <c r="J33" s="21">
        <v>22093</v>
      </c>
      <c r="K33" s="22">
        <v>17398</v>
      </c>
      <c r="L33" s="21">
        <v>4695</v>
      </c>
      <c r="M33" s="22">
        <v>34</v>
      </c>
    </row>
    <row r="34" spans="1:17">
      <c r="A34" s="10">
        <v>27</v>
      </c>
      <c r="B34" s="10" t="s">
        <v>119</v>
      </c>
      <c r="C34" s="12" t="s">
        <v>120</v>
      </c>
      <c r="D34" s="21">
        <v>15450</v>
      </c>
      <c r="E34" s="22">
        <v>2050</v>
      </c>
      <c r="F34" s="21">
        <v>487</v>
      </c>
      <c r="G34" s="22">
        <v>12913</v>
      </c>
      <c r="H34" s="21">
        <v>4971</v>
      </c>
      <c r="I34" s="22">
        <v>7942</v>
      </c>
      <c r="J34" s="21">
        <v>7628</v>
      </c>
      <c r="K34" s="22">
        <v>5219</v>
      </c>
      <c r="L34" s="21">
        <v>2409</v>
      </c>
      <c r="M34" s="22">
        <v>314</v>
      </c>
    </row>
    <row r="35" spans="1:17">
      <c r="A35" s="10">
        <v>28</v>
      </c>
      <c r="B35" s="10" t="s">
        <v>121</v>
      </c>
      <c r="C35" s="12" t="s">
        <v>189</v>
      </c>
      <c r="D35" s="21">
        <v>44263</v>
      </c>
      <c r="E35" s="22">
        <v>2608</v>
      </c>
      <c r="F35" s="21">
        <v>177</v>
      </c>
      <c r="G35" s="22">
        <v>41478</v>
      </c>
      <c r="H35" s="21">
        <v>1374</v>
      </c>
      <c r="I35" s="22">
        <v>40104</v>
      </c>
      <c r="J35" s="21">
        <v>39396</v>
      </c>
      <c r="K35" s="22">
        <v>27276</v>
      </c>
      <c r="L35" s="21">
        <v>12120</v>
      </c>
      <c r="M35" s="22">
        <v>708</v>
      </c>
    </row>
    <row r="36" spans="1:17">
      <c r="A36" s="10">
        <v>29</v>
      </c>
      <c r="B36" s="10" t="s">
        <v>123</v>
      </c>
      <c r="C36" s="12" t="s">
        <v>190</v>
      </c>
      <c r="D36" s="21">
        <v>15954</v>
      </c>
      <c r="E36" s="22">
        <v>1553</v>
      </c>
      <c r="F36" s="21">
        <v>95</v>
      </c>
      <c r="G36" s="22">
        <v>14306</v>
      </c>
      <c r="H36" s="21">
        <v>2392</v>
      </c>
      <c r="I36" s="22">
        <v>11914</v>
      </c>
      <c r="J36" s="21">
        <v>11825</v>
      </c>
      <c r="K36" s="22">
        <v>9476</v>
      </c>
      <c r="L36" s="21">
        <v>2349</v>
      </c>
      <c r="M36" s="22">
        <v>89</v>
      </c>
    </row>
    <row r="37" spans="1:17">
      <c r="A37" s="10">
        <v>30</v>
      </c>
      <c r="B37" s="10" t="s">
        <v>125</v>
      </c>
      <c r="C37" s="12" t="s">
        <v>69</v>
      </c>
      <c r="D37" s="21">
        <v>34005</v>
      </c>
      <c r="E37" s="22">
        <v>0</v>
      </c>
      <c r="F37" s="21">
        <v>0</v>
      </c>
      <c r="G37" s="22">
        <v>34005</v>
      </c>
      <c r="H37" s="21">
        <v>0</v>
      </c>
      <c r="I37" s="22">
        <v>34005</v>
      </c>
      <c r="J37" s="21">
        <v>33583</v>
      </c>
      <c r="K37" s="22">
        <v>27107</v>
      </c>
      <c r="L37" s="21">
        <v>6476</v>
      </c>
      <c r="M37" s="22">
        <v>422</v>
      </c>
    </row>
    <row r="38" spans="1:17">
      <c r="A38" s="10">
        <v>31</v>
      </c>
      <c r="B38" s="10" t="s">
        <v>126</v>
      </c>
      <c r="C38" s="12" t="s">
        <v>127</v>
      </c>
      <c r="D38" s="21">
        <v>55011</v>
      </c>
      <c r="E38" s="22">
        <v>2647</v>
      </c>
      <c r="F38" s="21">
        <v>264</v>
      </c>
      <c r="G38" s="22">
        <v>52100</v>
      </c>
      <c r="H38" s="21">
        <v>811</v>
      </c>
      <c r="I38" s="22">
        <v>51289</v>
      </c>
      <c r="J38" s="21">
        <v>50173</v>
      </c>
      <c r="K38" s="22">
        <v>38232</v>
      </c>
      <c r="L38" s="21">
        <v>11941</v>
      </c>
      <c r="M38" s="22">
        <v>1116</v>
      </c>
    </row>
    <row r="39" spans="1:17">
      <c r="A39" s="10">
        <v>32</v>
      </c>
      <c r="B39" s="10" t="s">
        <v>128</v>
      </c>
      <c r="C39" s="12" t="s">
        <v>191</v>
      </c>
      <c r="D39" s="21">
        <v>149028</v>
      </c>
      <c r="E39" s="22">
        <v>2993</v>
      </c>
      <c r="F39" s="21">
        <v>1113</v>
      </c>
      <c r="G39" s="22">
        <v>144922</v>
      </c>
      <c r="H39" s="21">
        <v>5045</v>
      </c>
      <c r="I39" s="22">
        <v>139877</v>
      </c>
      <c r="J39" s="21">
        <v>137098</v>
      </c>
      <c r="K39" s="22">
        <v>80726</v>
      </c>
      <c r="L39" s="21">
        <v>56372</v>
      </c>
      <c r="M39" s="22">
        <v>2779</v>
      </c>
    </row>
    <row r="40" spans="1:17">
      <c r="A40" s="10">
        <v>33</v>
      </c>
      <c r="B40" s="10" t="s">
        <v>130</v>
      </c>
      <c r="C40" s="12" t="s">
        <v>192</v>
      </c>
      <c r="D40" s="21">
        <v>15920</v>
      </c>
      <c r="E40" s="22">
        <v>1299</v>
      </c>
      <c r="F40" s="21">
        <v>396</v>
      </c>
      <c r="G40" s="22">
        <v>14225</v>
      </c>
      <c r="H40" s="21">
        <v>2224</v>
      </c>
      <c r="I40" s="22">
        <v>12001</v>
      </c>
      <c r="J40" s="21">
        <v>11539</v>
      </c>
      <c r="K40" s="22">
        <v>8980</v>
      </c>
      <c r="L40" s="21">
        <v>2559</v>
      </c>
      <c r="M40" s="22">
        <v>462</v>
      </c>
    </row>
    <row r="41" spans="1:17">
      <c r="A41" s="10">
        <v>34</v>
      </c>
      <c r="B41" s="10" t="s">
        <v>131</v>
      </c>
      <c r="C41" s="12" t="s">
        <v>132</v>
      </c>
      <c r="D41" s="21">
        <v>85044</v>
      </c>
      <c r="E41" s="22">
        <v>14552</v>
      </c>
      <c r="F41" s="21">
        <v>2956</v>
      </c>
      <c r="G41" s="22">
        <v>67536</v>
      </c>
      <c r="H41" s="21">
        <v>6170</v>
      </c>
      <c r="I41" s="22">
        <v>61366</v>
      </c>
      <c r="J41" s="21">
        <v>59253</v>
      </c>
      <c r="K41" s="22">
        <v>36689</v>
      </c>
      <c r="L41" s="21">
        <v>22564</v>
      </c>
      <c r="M41" s="22">
        <v>2113</v>
      </c>
    </row>
    <row r="42" spans="1:17">
      <c r="A42" s="10">
        <v>35</v>
      </c>
      <c r="B42" s="10" t="s">
        <v>133</v>
      </c>
      <c r="C42" s="12" t="s">
        <v>193</v>
      </c>
      <c r="D42" s="21">
        <v>111276</v>
      </c>
      <c r="E42" s="22">
        <v>18091</v>
      </c>
      <c r="F42" s="21">
        <v>5543</v>
      </c>
      <c r="G42" s="22">
        <v>87642</v>
      </c>
      <c r="H42" s="21">
        <v>5842</v>
      </c>
      <c r="I42" s="22">
        <v>81800</v>
      </c>
      <c r="J42" s="21">
        <v>75860</v>
      </c>
      <c r="K42" s="22">
        <v>30414</v>
      </c>
      <c r="L42" s="21">
        <v>45446</v>
      </c>
      <c r="M42" s="22">
        <v>5940</v>
      </c>
    </row>
    <row r="43" spans="1:17">
      <c r="A43" s="10">
        <v>36</v>
      </c>
      <c r="B43" s="10" t="s">
        <v>135</v>
      </c>
      <c r="C43" s="12" t="s">
        <v>194</v>
      </c>
      <c r="D43" s="21">
        <v>0</v>
      </c>
      <c r="E43" s="22">
        <v>0</v>
      </c>
      <c r="F43" s="21">
        <v>0</v>
      </c>
      <c r="G43" s="22">
        <v>0</v>
      </c>
      <c r="H43" s="21">
        <v>0</v>
      </c>
      <c r="I43" s="22">
        <v>0</v>
      </c>
      <c r="J43" s="21">
        <v>0</v>
      </c>
      <c r="K43" s="22">
        <v>0</v>
      </c>
      <c r="L43" s="21">
        <v>0</v>
      </c>
      <c r="M43" s="22">
        <v>0</v>
      </c>
    </row>
    <row r="44" spans="1:17">
      <c r="A44" s="10">
        <v>37</v>
      </c>
      <c r="B44" s="10" t="s">
        <v>136</v>
      </c>
      <c r="C44" s="12" t="s">
        <v>195</v>
      </c>
      <c r="D44" s="21">
        <v>120</v>
      </c>
      <c r="E44" s="22">
        <v>7</v>
      </c>
      <c r="F44" s="21">
        <v>1</v>
      </c>
      <c r="G44" s="22">
        <v>112</v>
      </c>
      <c r="H44" s="21">
        <v>3</v>
      </c>
      <c r="I44" s="22">
        <v>109</v>
      </c>
      <c r="J44" s="21">
        <v>106</v>
      </c>
      <c r="K44" s="22">
        <v>42</v>
      </c>
      <c r="L44" s="21">
        <v>64</v>
      </c>
      <c r="M44" s="22">
        <v>3</v>
      </c>
    </row>
    <row r="45" spans="1:17">
      <c r="A45" s="11"/>
      <c r="B45" s="17"/>
      <c r="C45" s="13" t="s">
        <v>35</v>
      </c>
      <c r="D45" s="24">
        <v>1163637</v>
      </c>
      <c r="E45" s="25">
        <v>131404</v>
      </c>
      <c r="F45" s="24">
        <v>43119</v>
      </c>
      <c r="G45" s="25">
        <v>989114</v>
      </c>
      <c r="H45" s="24">
        <v>79311</v>
      </c>
      <c r="I45" s="25">
        <v>909803</v>
      </c>
      <c r="J45" s="24">
        <v>885382</v>
      </c>
      <c r="K45" s="25">
        <v>589125</v>
      </c>
      <c r="L45" s="24">
        <v>296257</v>
      </c>
      <c r="M45" s="25">
        <v>24421</v>
      </c>
    </row>
    <row r="47" spans="1:17" ht="14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ht="14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ht="9.4499999999999993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ht="9.4499999999999993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ht="9.4499999999999993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ht="9.4499999999999993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ht="30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ht="14.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ht="14.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ht="14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14.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ht="14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ht="14.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ht="14.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ht="14.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ht="14.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ht="14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ht="14.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ht="14.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ht="14.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ht="14.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ht="14.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ht="14.4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ht="14.4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ht="14.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ht="14.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ht="14.4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ht="14.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ht="14.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ht="14.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ht="14.4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ht="14.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ht="14.4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ht="14.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1:17" ht="14.4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1:17" ht="14.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7" ht="14.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 ht="14.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7" ht="14.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7" ht="14.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ht="14.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ht="14.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ht="14.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ht="14.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ht="14.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ht="14.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</sheetData>
  <mergeCells count="8">
    <mergeCell ref="M6:M7"/>
    <mergeCell ref="D3:D7"/>
    <mergeCell ref="E4:E7"/>
    <mergeCell ref="F4:F7"/>
    <mergeCell ref="G4:G7"/>
    <mergeCell ref="H5:H7"/>
    <mergeCell ref="I5:I7"/>
    <mergeCell ref="J6:J7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取引基本表</vt:lpstr>
      <vt:lpstr>投入係数表</vt:lpstr>
      <vt:lpstr>逆行列係数表（閉鎖型）</vt:lpstr>
      <vt:lpstr>逆行列係数表（開放型）</vt:lpstr>
      <vt:lpstr>生産誘発額</vt:lpstr>
      <vt:lpstr>粗付加価値誘発額</vt:lpstr>
      <vt:lpstr>移輸入誘発額</vt:lpstr>
      <vt:lpstr>各種係数表</vt:lpstr>
      <vt:lpstr>雇用表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加藤　慧</cp:lastModifiedBy>
  <dcterms:created xsi:type="dcterms:W3CDTF">2025-02-19T02:19:23Z</dcterms:created>
  <dcterms:modified xsi:type="dcterms:W3CDTF">2025-11-18T02:50:05Z</dcterms:modified>
</cp:coreProperties>
</file>